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state="hidden" r:id="rId4"/>
    <sheet name="FIRST PAGE" sheetId="2" r:id="rId5"/>
    <sheet name="REPORT" sheetId="3" r:id="rId6"/>
  </sheets>
  <definedNames>
    <definedName name="EQVAL">'REPORT'!$G$11:$EU$30</definedName>
    <definedName name="INTERVAL">'FIRST PAGE'!$F$2</definedName>
    <definedName name="INTVAL">'REPORT'!$F$11:$F$30</definedName>
    <definedName name="INTVAL_F">'FIRST PAGE'!$B$15:$B$26</definedName>
    <definedName name="PERCENTAGE">'FIRST PAGE'!$D$6</definedName>
    <definedName name="_xlnm.print_titles">'REPORT'!$4:$10</definedName>
    <definedName name="GRP_1131">'REPORT'!$ES$11:$ES$30</definedName>
    <definedName name="GRP_1131_NAME">'REPORT'!$ES$8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<sst xmlns="http://schemas.openxmlformats.org/spreadsheetml/2006/main" uniqueCount="205">
  <si>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</si>
  <si>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</si>
  <si>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</si>
  <si>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</si>
  <si>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</si>
  <si>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</si>
  <si>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</si>
  <si>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</si>
  <si>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</si>
  <si>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</si>
  <si>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</si>
  <si>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</si>
  <si>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</si>
  <si>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</si>
  <si>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</si>
  <si>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</si>
  <si>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</si>
  <si>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</si>
  <si>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</si>
  <si>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</si>
  <si>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</si>
  <si>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</si>
  <si>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KPI 213 Monthly 2021</t>
  </si>
  <si>
    <t>stat_kpi_213</t>
  </si>
  <si>
    <t>month</t>
  </si>
  <si>
    <t>-510-648-</t>
  </si>
  <si>
    <t>running</t>
  </si>
  <si>
    <t>codexplatform-airport.cofely.be@engie.com ,sla_kpi_am@brusselsairport.be,bacavailabilities@cofelygtc.com</t>
  </si>
  <si>
    <t>-1-2-</t>
  </si>
  <si>
    <t>KPI 213</t>
  </si>
  <si>
    <t>Maand:</t>
  </si>
  <si>
    <t>Opgemaakt door:</t>
  </si>
  <si>
    <t>AMS</t>
  </si>
  <si>
    <t>primaire verluchting</t>
  </si>
  <si>
    <t>Samenvatting</t>
  </si>
  <si>
    <t>Percentage beschikbaarheid</t>
  </si>
  <si>
    <t>Score gebied</t>
  </si>
  <si>
    <t>100% - 90%</t>
  </si>
  <si>
    <t>89,9% - 80%</t>
  </si>
  <si>
    <t>79.9%-0%</t>
  </si>
  <si>
    <t>Punten KPI</t>
  </si>
  <si>
    <t>Data vorige scores</t>
  </si>
  <si>
    <t>Score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</si>
  <si>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</si>
  <si>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</si>
  <si>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</si>
  <si>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</si>
  <si>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</si>
  <si>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</si>
  <si>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</si>
  <si>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</si>
  <si>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GRP_1131</t>
  </si>
  <si>
    <t>-</t>
  </si>
  <si>
    <t>Interval:</t>
  </si>
  <si>
    <t>EQT</t>
  </si>
  <si>
    <t>EQ</t>
  </si>
  <si>
    <t>GTA_56__AHU__001</t>
  </si>
  <si>
    <t>GTA_FA__AHU__410</t>
  </si>
  <si>
    <t>GTA_FA__AHU__411</t>
  </si>
  <si>
    <t>GTA_FA__AHU__412</t>
  </si>
  <si>
    <t>GTA_FA__AHU__413</t>
  </si>
  <si>
    <t>GTA_FA__AHU__414</t>
  </si>
  <si>
    <t>GTA_FA__AHU__420</t>
  </si>
  <si>
    <t>GTA_FA__AHU__421</t>
  </si>
  <si>
    <t>GTA_FA__AHU__422</t>
  </si>
  <si>
    <t>GTA_FA__AHU__430</t>
  </si>
  <si>
    <t>GTA_FA__AHU__431</t>
  </si>
  <si>
    <t>GTA_FA__AHU__432</t>
  </si>
  <si>
    <t>GTA_FA__AHU__438</t>
  </si>
  <si>
    <t>GTA_FA__AHU__439</t>
  </si>
  <si>
    <t>GTA_FA__AHU__440</t>
  </si>
  <si>
    <t>GTA_FA__AHU__441</t>
  </si>
  <si>
    <t>GTA_FA__AHU__442</t>
  </si>
  <si>
    <t>GTA_FA__AHU__445</t>
  </si>
  <si>
    <t>GTA_FA__AHU__447</t>
  </si>
  <si>
    <t>GTA_FA__AHU__448</t>
  </si>
  <si>
    <t>GTA_FA__AHU__449</t>
  </si>
  <si>
    <t>GTA_FA__AHU__450</t>
  </si>
  <si>
    <t>GTA_FA__AHU__451</t>
  </si>
  <si>
    <t>GTA_FA__AHU__452</t>
  </si>
  <si>
    <t>GTA_FB__AHU__201</t>
  </si>
  <si>
    <t>GTA_FB__AHU__202</t>
  </si>
  <si>
    <t>GTA_FB__AHU__203</t>
  </si>
  <si>
    <t>GTA_FB__AHU__204</t>
  </si>
  <si>
    <t>GTA_FB__AHU__206</t>
  </si>
  <si>
    <t>GTA_FB__AHU__207</t>
  </si>
  <si>
    <t>GTA_FB__AHU__208</t>
  </si>
  <si>
    <t>GTA_FB__AHU__209</t>
  </si>
  <si>
    <t>GTA_FB__AHU__210</t>
  </si>
  <si>
    <t>GTA_FB__AHU__211</t>
  </si>
  <si>
    <t>GTA_FB__AHU__212</t>
  </si>
  <si>
    <t>GTA_FB__AHU__214</t>
  </si>
  <si>
    <t>GTA_FB__AHU__215</t>
  </si>
  <si>
    <t>GTA_FB__AHU__216</t>
  </si>
  <si>
    <t>GTA_FB__AHU__217</t>
  </si>
  <si>
    <t>GTA_FB__AHU__219</t>
  </si>
  <si>
    <t>GTA_FB__AHU__221</t>
  </si>
  <si>
    <t>GTA_FB__AHU__223</t>
  </si>
  <si>
    <t>GTA_FB__AHU__224</t>
  </si>
  <si>
    <t>GTA_FB__AHU__226</t>
  </si>
  <si>
    <t>GTA_FB__AHU__227</t>
  </si>
  <si>
    <t>GTA_FB__AHU__231</t>
  </si>
  <si>
    <t>GTA_FB__AHU__232</t>
  </si>
  <si>
    <t>GTA_FB__AHU__233</t>
  </si>
  <si>
    <t>GTA_FB__AHU__234</t>
  </si>
  <si>
    <t>GTA_FB__AHU__236</t>
  </si>
  <si>
    <t>GTA_FB__AHU__241</t>
  </si>
  <si>
    <t>GTA_FB__AHU__242</t>
  </si>
  <si>
    <t>GTA_FB__AHU__243</t>
  </si>
  <si>
    <t>GTA_FB__AHU__245</t>
  </si>
  <si>
    <t>GTA_FB__AHU__246</t>
  </si>
  <si>
    <t>GTA_FB__AHU__251</t>
  </si>
  <si>
    <t>GTA_FB__AHU__252</t>
  </si>
  <si>
    <t>GTA_FB__AHU__253</t>
  </si>
  <si>
    <t>GTA_FB__AHU__256</t>
  </si>
  <si>
    <t>GTA_FB__AHU__261</t>
  </si>
  <si>
    <t>GTA_FB__AHU__262</t>
  </si>
  <si>
    <t>GTA_FB__AHU__263</t>
  </si>
  <si>
    <t>GTA_FB__AHU__264</t>
  </si>
  <si>
    <t>GTA_FB__AHU__266</t>
  </si>
  <si>
    <t>GTA_FB__AHU__267</t>
  </si>
  <si>
    <t>GTA_FB__AHU__271</t>
  </si>
  <si>
    <t>GTA_FB__AHU__272</t>
  </si>
  <si>
    <t>GTA_GP__AHU_1000</t>
  </si>
  <si>
    <t>GTA_GP__AHU_1001</t>
  </si>
  <si>
    <t>GTA_GP__AHU_1002</t>
  </si>
  <si>
    <t>GTA_GP__AHU_1003</t>
  </si>
  <si>
    <t>GTA_GP__AHU1004</t>
  </si>
  <si>
    <t>GTA_GP__AHU1005</t>
  </si>
  <si>
    <t>GTA_GP__AHU_1006</t>
  </si>
  <si>
    <t>GTA_GP__AHU_1007</t>
  </si>
  <si>
    <t>GTA_GP__AHU_1011</t>
  </si>
  <si>
    <t>GTA_GP__AHU_1012</t>
  </si>
  <si>
    <t>GTA_GR__AHU_1010</t>
  </si>
  <si>
    <t>GTA_NT__AHU__001</t>
  </si>
  <si>
    <t>GTA_NT__AHU__002</t>
  </si>
  <si>
    <t>GTA_NT__AHU__003</t>
  </si>
  <si>
    <t>GTA_NT__AHU__004</t>
  </si>
  <si>
    <t>GTA_NT__AHU__006</t>
  </si>
  <si>
    <t>GTA_NT__AHU__007</t>
  </si>
  <si>
    <t>GTA_NT__AHU__008</t>
  </si>
  <si>
    <t>GTA_NT__AHU__010</t>
  </si>
  <si>
    <t>GTA_NT__AHU__011</t>
  </si>
  <si>
    <t>GTA_NT__AHU__013</t>
  </si>
  <si>
    <t>GTA_NT__AHU__014</t>
  </si>
  <si>
    <t>GTA_NT__AHU__015</t>
  </si>
  <si>
    <t>GTA_NT__AHU__016</t>
  </si>
  <si>
    <t>GTA_NT__AHU__017</t>
  </si>
  <si>
    <t>GTA_NT__AHU__018</t>
  </si>
  <si>
    <t>GTA_NT__AHU__019</t>
  </si>
  <si>
    <t>GTA_NT__AHU__020</t>
  </si>
  <si>
    <t>GTA_NT__AHU__021</t>
  </si>
  <si>
    <t>GTA_NT__AHU__022</t>
  </si>
  <si>
    <t>GTA_NT__AHU__023</t>
  </si>
  <si>
    <t>GTA_NT__AHU__024</t>
  </si>
  <si>
    <t>GTA_NT__AHU__025</t>
  </si>
  <si>
    <t>GTA_NT__AHU__026</t>
  </si>
  <si>
    <t>GTA_NT__AHU__027</t>
  </si>
  <si>
    <t>GTA_NT__AHU__028</t>
  </si>
  <si>
    <t>GTA_NT__AHU__029</t>
  </si>
  <si>
    <t>GTA_NT__AHU__030</t>
  </si>
  <si>
    <t>GTA_NT__AHU__031</t>
  </si>
  <si>
    <t>GTA_NT__AHU__032</t>
  </si>
  <si>
    <t>GTA_NT__AHU__033</t>
  </si>
  <si>
    <t>GTA_NT__AHU__056</t>
  </si>
  <si>
    <t>GTA_NT__AHU__057</t>
  </si>
  <si>
    <t>GTA_NT__AHU__058</t>
  </si>
  <si>
    <t>GTA_NT__AHU__117</t>
  </si>
  <si>
    <t>GTA_NT__AHU__141</t>
  </si>
  <si>
    <t>GTA_NT__AHU__142</t>
  </si>
  <si>
    <t>GTA_NT__AHU__150</t>
  </si>
  <si>
    <t>GTA_NT__AHU__171</t>
  </si>
  <si>
    <t>GTA_NT__AHU__196</t>
  </si>
  <si>
    <t>GTA_NT__AHU__957</t>
  </si>
  <si>
    <t>GTA_NT__AHU__962</t>
  </si>
  <si>
    <t>GTA_NT__AHU__987</t>
  </si>
  <si>
    <t>GTA_NT__AHU__995</t>
  </si>
  <si>
    <t>GTA_PR__AHU__001</t>
  </si>
  <si>
    <t>GTA_PR__AHU__002</t>
  </si>
  <si>
    <t>GTA_SA__BG1</t>
  </si>
  <si>
    <t>GTA_SA__BG2</t>
  </si>
  <si>
    <t>GTA_SA__BG3</t>
  </si>
  <si>
    <t>GTA_TO__AHU__600</t>
  </si>
  <si>
    <t>GTA_TO__AHU__601</t>
  </si>
  <si>
    <t>GTA_TO__AHU__602</t>
  </si>
  <si>
    <t>GTA_TO__AHU__603</t>
  </si>
  <si>
    <t>GTA_TO__AHU__604</t>
  </si>
  <si>
    <t>GTA_TO__AHU__605</t>
  </si>
  <si>
    <t>GTA_TO__AHU_605A</t>
  </si>
  <si>
    <t>GTA_TO__AHU__606</t>
  </si>
  <si>
    <t>GTA_TO__AHU__608</t>
  </si>
  <si>
    <t>GTA_TO__AHU__613</t>
  </si>
  <si>
    <t>GTA_TO__AHU__614</t>
  </si>
  <si>
    <t>GTA_TO__AHU__665</t>
  </si>
  <si>
    <t>GTA_TO__AHU__667</t>
  </si>
  <si>
    <t>GTA_TO__AHU__680</t>
  </si>
  <si>
    <t>GTA_TO__AHU__681</t>
  </si>
  <si>
    <t>GTA_TO__AHU__682</t>
  </si>
  <si>
    <t>KPI_213_PR</t>
  </si>
  <si>
    <t>OBJ</t>
  </si>
  <si>
    <t>NUMEQ</t>
  </si>
  <si>
    <t>#EQ</t>
  </si>
  <si>
    <t>P1</t>
  </si>
  <si>
    <t>PN</t>
  </si>
  <si>
    <t>LL</t>
  </si>
</sst>
</file>

<file path=xl/styles.xml><?xml version="1.0" encoding="utf-8"?>
<styleSheet xmlns="http://schemas.openxmlformats.org/spreadsheetml/2006/main" xml:space="preserve">
  <numFmts count="5">
    <numFmt numFmtId="164" formatCode="h:mm;@"/>
    <numFmt numFmtId="165" formatCode="yyyy\-mm\-dd"/>
    <numFmt numFmtId="166" formatCode="dd\-mm\-yy;@"/>
    <numFmt numFmtId="167" formatCode="d/m/y h:mm"/>
    <numFmt numFmtId="168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1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000000"/>
      <name val="Times New Roman"/>
    </font>
  </fonts>
  <fills count="6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5A5A5"/>
        <bgColor rgb="FFFFFFFF"/>
      </patternFill>
    </fill>
  </fills>
  <borders count="49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</borders>
  <cellStyleXfs count="1">
    <xf numFmtId="0" fontId="0" fillId="0" borderId="0"/>
  </cellStyleXfs>
  <cellXfs count="103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1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2" borderId="23" applyFont="1" applyNumberFormat="0" applyFill="0" applyBorder="1" applyAlignment="1">
      <alignment horizontal="general" vertical="bottom" textRotation="9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5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5" applyFont="1" applyNumberFormat="0" applyFill="1" applyBorder="1" applyAlignment="0">
      <alignment horizontal="general" vertical="bottom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31" applyFont="1" applyNumberFormat="0" applyFill="1" applyBorder="1" applyAlignment="0">
      <alignment horizontal="general" vertical="bottom" textRotation="0" wrapText="false" shrinkToFit="false"/>
    </xf>
    <xf xfId="0" fontId="1" numFmtId="0" fillId="4" borderId="29" applyFont="1" applyNumberFormat="0" applyFill="1" applyBorder="1" applyAlignment="0">
      <alignment horizontal="general" vertical="bottom" textRotation="0" wrapText="false" shrinkToFit="false"/>
    </xf>
    <xf xfId="0" fontId="1" numFmtId="0" fillId="4" borderId="30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165" fillId="2" borderId="0" applyFont="0" applyNumberFormat="1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true" shrinkToFit="false"/>
    </xf>
    <xf xfId="0" fontId="0" numFmtId="0" fillId="2" borderId="35" applyFont="0" applyNumberFormat="0" applyFill="0" applyBorder="1" applyAlignment="0">
      <alignment horizontal="general" vertical="bottom" textRotation="0" wrapText="false" shrinkToFit="false"/>
    </xf>
    <xf xfId="0" fontId="0" numFmtId="0" fillId="2" borderId="36" applyFont="0" applyNumberFormat="0" applyFill="0" applyBorder="1" applyAlignment="0">
      <alignment horizontal="general" vertical="bottom" textRotation="0" wrapText="false" shrinkToFit="false"/>
    </xf>
    <xf xfId="0" fontId="0" numFmtId="49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1" fillId="2" borderId="37" applyFont="0" applyNumberFormat="1" applyFill="0" applyBorder="1" applyAlignment="0">
      <alignment horizontal="general" vertical="bottom" textRotation="0" wrapText="false" shrinkToFit="false"/>
    </xf>
    <xf xfId="0" fontId="0" numFmtId="0" fillId="2" borderId="38" applyFont="0" applyNumberFormat="0" applyFill="0" applyBorder="1" applyAlignment="1">
      <alignment horizontal="center" vertical="bottom" textRotation="0" wrapText="true" shrinkToFit="false"/>
    </xf>
    <xf xfId="0" fontId="0" numFmtId="0" fillId="2" borderId="39" applyFont="0" applyNumberFormat="0" applyFill="0" applyBorder="1" applyAlignment="1">
      <alignment horizontal="center" vertical="bottom" textRotation="0" wrapText="false" shrinkToFit="false"/>
    </xf>
    <xf xfId="0" fontId="0" numFmtId="1" fillId="2" borderId="40" applyFont="0" applyNumberFormat="1" applyFill="0" applyBorder="1" applyAlignment="0">
      <alignment horizontal="general" vertical="bottom" textRotation="0" wrapText="false" shrinkToFit="false"/>
    </xf>
    <xf xfId="0" fontId="0" numFmtId="0" fillId="2" borderId="12" applyFont="0" applyNumberFormat="0" applyFill="0" applyBorder="1" applyAlignment="1">
      <alignment horizontal="center" vertical="bottom" textRotation="0" wrapText="true" shrinkToFit="false"/>
    </xf>
    <xf xfId="0" fontId="0" numFmtId="0" fillId="2" borderId="41" applyFont="0" applyNumberFormat="0" applyFill="0" applyBorder="1" applyAlignment="1">
      <alignment horizontal="center" vertical="bottom" textRotation="0" wrapText="true" shrinkToFit="false"/>
    </xf>
    <xf xfId="0" fontId="0" numFmtId="0" fillId="2" borderId="42" applyFont="0" applyNumberFormat="0" applyFill="0" applyBorder="1" applyAlignment="1">
      <alignment horizontal="center" vertical="bottom" textRotation="0" wrapText="tru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5" borderId="36" applyFont="0" applyNumberFormat="0" applyFill="1" applyBorder="1" applyAlignment="1">
      <alignment horizontal="center" vertical="bottom" textRotation="0" wrapText="false" shrinkToFit="false"/>
    </xf>
    <xf xfId="0" fontId="0" numFmtId="0" fillId="5" borderId="43" applyFont="0" applyNumberFormat="0" applyFill="1" applyBorder="1" applyAlignment="1">
      <alignment horizontal="center" vertical="bottom" textRotation="0" wrapText="false" shrinkToFit="false"/>
    </xf>
    <xf xfId="0" fontId="0" numFmtId="0" fillId="4" borderId="43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0">
      <alignment horizontal="general" vertical="bottom" textRotation="0" wrapText="false" shrinkToFit="false"/>
    </xf>
    <xf xfId="0" fontId="0" numFmtId="0" fillId="4" borderId="44" applyFont="0" applyNumberFormat="0" applyFill="1" applyBorder="1" applyAlignment="0">
      <alignment horizontal="general" vertical="bottom" textRotation="0" wrapText="false" shrinkToFit="false"/>
    </xf>
    <xf xfId="0" fontId="0" numFmtId="0" fillId="4" borderId="34" applyFont="0" applyNumberFormat="0" applyFill="1" applyBorder="1" applyAlignment="0">
      <alignment horizontal="general" vertical="bottom" textRotation="0" wrapText="false" shrinkToFit="false"/>
    </xf>
    <xf xfId="0" fontId="0" numFmtId="0" fillId="2" borderId="40" applyFont="0" applyNumberFormat="0" applyFill="0" applyBorder="1" applyAlignment="0">
      <alignment horizontal="general" vertical="bottom" textRotation="0" wrapText="false" shrinkToFit="false"/>
    </xf>
    <xf xfId="0" fontId="0" numFmtId="0" fillId="2" borderId="45" applyFont="0" applyNumberFormat="0" applyFill="0" applyBorder="1" applyAlignment="0">
      <alignment horizontal="general" vertical="bottom" textRotation="0" wrapText="false" shrinkToFit="false"/>
    </xf>
    <xf xfId="0" fontId="0" numFmtId="2" fillId="2" borderId="45" applyFont="0" applyNumberFormat="1" applyFill="0" applyBorder="1" applyAlignment="1">
      <alignment horizontal="center" vertical="bottom" textRotation="0" wrapText="false" shrinkToFit="false"/>
    </xf>
    <xf xfId="0" fontId="0" numFmtId="0" fillId="2" borderId="46" applyFont="0" applyNumberFormat="0" applyFill="0" applyBorder="1" applyAlignment="0">
      <alignment horizontal="general" vertical="bottom" textRotation="0" wrapText="false" shrinkToFit="false"/>
    </xf>
    <xf xfId="0" fontId="0" numFmtId="0" fillId="2" borderId="47" applyFont="0" applyNumberFormat="0" applyFill="0" applyBorder="1" applyAlignment="0">
      <alignment horizontal="general" vertical="bottom" textRotation="0" wrapText="false" shrinkToFit="false"/>
    </xf>
    <xf xfId="0" fontId="0" numFmtId="0" fillId="2" borderId="48" applyFont="0" applyNumberFormat="0" applyFill="0" applyBorder="1" applyAlignment="0">
      <alignment horizontal="general" vertical="bottom" textRotation="0" wrapText="false" shrinkToFit="false"/>
    </xf>
    <xf xfId="0" fontId="0" numFmtId="0" fillId="4" borderId="36" applyFont="0" applyNumberFormat="0" applyFill="1" applyBorder="1" applyAlignment="0">
      <alignment horizontal="general" vertical="bottom" textRotation="0" wrapText="false" shrinkToFit="false"/>
    </xf>
    <xf xfId="0" fontId="0" numFmtId="0" fillId="4" borderId="43" applyFont="0" applyNumberFormat="0" applyFill="1" applyBorder="1" applyAlignment="0">
      <alignment horizontal="general" vertical="bottom" textRotation="0" wrapText="false" shrinkToFit="false"/>
    </xf>
    <xf xfId="0" fontId="0" numFmtId="0" fillId="4" borderId="39" applyFont="0" applyNumberFormat="0" applyFill="1" applyBorder="1" applyAlignment="0">
      <alignment horizontal="general" vertical="bottom" textRotation="0" wrapText="false" shrinkToFit="false"/>
    </xf>
    <xf xfId="0" fontId="0" numFmtId="0" fillId="2" borderId="37" applyFont="0" applyNumberFormat="0" applyFill="0" applyBorder="1" applyAlignment="1">
      <alignment horizontal="center" vertical="bottom" textRotation="0" wrapText="true" shrinkToFit="false"/>
    </xf>
    <xf xfId="0" fontId="0" numFmtId="0" fillId="2" borderId="44" applyFont="0" applyNumberFormat="0" applyFill="0" applyBorder="1" applyAlignment="1">
      <alignment horizontal="center" vertical="bottom" textRotation="0" wrapText="false" shrinkToFit="false"/>
    </xf>
    <xf xfId="0" fontId="0" numFmtId="0" fillId="2" borderId="44" applyFont="0" applyNumberFormat="0" applyFill="0" applyBorder="1" applyAlignment="1">
      <alignment horizontal="center" vertical="bottom" textRotation="0" wrapText="true" shrinkToFit="false"/>
    </xf>
    <xf xfId="0" fontId="0" numFmtId="0" fillId="4" borderId="40" applyFont="0" applyNumberFormat="0" applyFill="1" applyBorder="1" applyAlignment="0">
      <alignment horizontal="general" vertical="bottom" textRotation="0" wrapText="false" shrinkToFit="false"/>
    </xf>
    <xf xfId="0" fontId="0" numFmtId="0" fillId="4" borderId="45" applyFont="0" applyNumberFormat="0" applyFill="1" applyBorder="1" applyAlignment="0">
      <alignment horizontal="general" vertical="bottom" textRotation="0" wrapText="false" shrinkToFit="false"/>
    </xf>
    <xf xfId="0" fontId="0" numFmtId="0" fillId="4" borderId="35" applyFont="0" applyNumberFormat="0" applyFill="1" applyBorder="1" applyAlignment="0">
      <alignment horizontal="general" vertical="bottom" textRotation="0" wrapText="false" shrinkToFit="false"/>
    </xf>
    <xf xfId="0" fontId="0" numFmtId="2" fillId="2" borderId="44" applyFont="0" applyNumberFormat="1" applyFill="0" applyBorder="1" applyAlignment="1">
      <alignment horizontal="left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4" numFmtId="0" fillId="2" borderId="43" applyFont="1" applyNumberFormat="0" applyFill="0" applyBorder="1" applyAlignment="1">
      <alignment horizontal="left" vertical="bottom" textRotation="0" wrapText="false" shrinkToFit="false"/>
    </xf>
    <xf xfId="0" fontId="4" numFmtId="0" fillId="2" borderId="43" applyFont="1" applyNumberFormat="0" applyFill="0" applyBorder="1" applyAlignment="1">
      <alignment horizontal="center" vertical="bottom" textRotation="0" wrapText="false" shrinkToFit="false"/>
    </xf>
    <xf xfId="0" fontId="4" numFmtId="0" fillId="2" borderId="39" applyFont="1" applyNumberFormat="0" applyFill="0" applyBorder="1" applyAlignment="1">
      <alignment horizontal="center" vertical="bottom" textRotation="0" wrapText="false" shrinkToFit="false"/>
    </xf>
    <xf xfId="0" fontId="0" numFmtId="2" fillId="2" borderId="45" applyFont="0" applyNumberFormat="1" applyFill="0" applyBorder="1" applyAlignment="1">
      <alignment horizontal="left" vertical="bottom" textRotation="0" wrapText="false" shrinkToFit="false"/>
    </xf>
    <xf xfId="0" fontId="0" numFmtId="0" fillId="2" borderId="45" applyFont="0" applyNumberFormat="0" applyFill="0" applyBorder="1" applyAlignment="1">
      <alignment horizontal="center" vertical="bottom" textRotation="0" wrapText="false" shrinkToFit="false"/>
    </xf>
    <xf xfId="0" fontId="0" numFmtId="0" fillId="2" borderId="35" applyFont="0" applyNumberFormat="0" applyFill="0" applyBorder="1" applyAlignment="1">
      <alignment horizontal="center" vertical="bottom" textRotation="0" wrapText="false" shrinkToFit="false"/>
    </xf>
    <xf xfId="0" fontId="5" numFmtId="166" fillId="2" borderId="13" applyFont="1" applyNumberFormat="1" applyFill="0" applyBorder="1" applyAlignment="1">
      <alignment horizontal="center" vertical="bottom" textRotation="0" wrapText="false" shrinkToFit="false"/>
    </xf>
    <xf xfId="0" fontId="1" numFmtId="167" fillId="2" borderId="0" applyFont="1" applyNumberFormat="1" applyFill="0" applyBorder="0" applyAlignment="0">
      <alignment horizontal="general" vertical="bottom" textRotation="0" wrapText="false" shrinkToFit="false"/>
    </xf>
    <xf xfId="0" fontId="0" numFmtId="168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X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4" customWidth="true" style="52"/>
    <col min="2" max="2" width="9.28515625" customWidth="true" style="52"/>
    <col min="3" max="3" width="18.7109375" customWidth="true" style="52"/>
    <col min="4" max="4" width="25.85546875" customWidth="true" style="52"/>
    <col min="5" max="5" width="11.5703125" customWidth="true" style="52"/>
    <col min="6" max="6" width="18" customWidth="true" style="52"/>
    <col min="7" max="7" width="7.85546875" customWidth="true" style="52"/>
    <col min="8" max="8" width="11.85546875" customWidth="true" style="52"/>
    <col min="9" max="9" width="15" customWidth="true" style="52"/>
    <col min="10" max="10" width="5.85546875" customWidth="true" style="52"/>
    <col min="11" max="11" width="9.5703125" customWidth="true" style="52"/>
    <col min="12" max="12" width="8.140625" customWidth="true" style="52"/>
    <col min="13" max="13" width="6.28515625" customWidth="true" style="52"/>
    <col min="14" max="14" width="10.42578125" customWidth="true" style="52"/>
    <col min="15" max="15" width="10.42578125" customWidth="true" style="52"/>
    <col min="16" max="16" width="10.140625" customWidth="true" style="52"/>
    <col min="17" max="17" width="9.5703125" customWidth="true" style="52"/>
    <col min="18" max="18" width="6" customWidth="true" style="52"/>
    <col min="19" max="19" width="12" customWidth="true" style="52"/>
    <col min="20" max="20" width="11.42578125" customWidth="true" style="52"/>
    <col min="21" max="21" width="18" customWidth="true" style="52"/>
    <col min="22" max="22" width="12.7109375" customWidth="true" style="52"/>
    <col min="23" max="23" width="9.140625" customWidth="true" style="52"/>
    <col min="24" max="24" width="9.140625" customWidth="true" style="52"/>
  </cols>
  <sheetData>
    <row r="1" spans="1:24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</row>
    <row r="2" spans="1:24">
      <c r="A2" s="52">
        <v>44816</v>
      </c>
      <c r="B2" s="52">
        <v>903</v>
      </c>
      <c r="C2" s="52" t="s">
        <v>22</v>
      </c>
      <c r="D2" s="52" t="s">
        <v>23</v>
      </c>
      <c r="E2" s="52">
        <v>1</v>
      </c>
      <c r="F2" s="52">
        <v>0</v>
      </c>
      <c r="G2" s="53" t="s">
        <v>24</v>
      </c>
      <c r="H2" s="53" t="s">
        <v>25</v>
      </c>
      <c r="I2" s="53"/>
      <c r="J2" s="53" t="s">
        <v>24</v>
      </c>
      <c r="K2" s="54">
        <v>12</v>
      </c>
      <c r="L2" s="58">
        <v>511</v>
      </c>
      <c r="M2" s="52" t="s">
        <v>26</v>
      </c>
      <c r="N2" s="102">
        <v>44440</v>
      </c>
      <c r="O2" s="102">
        <v>44469</v>
      </c>
      <c r="P2" s="54">
        <v>25569</v>
      </c>
      <c r="Q2" s="54">
        <v>25569.999988426</v>
      </c>
      <c r="R2" s="54" t="s">
        <v>27</v>
      </c>
      <c r="S2" s="53">
        <v>0</v>
      </c>
      <c r="T2" s="102">
        <v>44197</v>
      </c>
      <c r="U2" s="102">
        <v>44469.999988426</v>
      </c>
      <c r="V2" s="52" t="s">
        <v>28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F26"/>
  <sheetViews>
    <sheetView tabSelected="0" workbookViewId="0" showGridLines="true" showRowColHeaders="1">
      <selection activeCell="F31" sqref="F31"/>
    </sheetView>
  </sheetViews>
  <sheetFormatPr defaultRowHeight="14.4" outlineLevelRow="0" outlineLevelCol="0"/>
  <cols>
    <col min="1" max="1" width="2.140625" customWidth="true" style="0"/>
    <col min="2" max="2" width="4" customWidth="true" style="0"/>
    <col min="3" max="3" width="25.7109375" customWidth="true" style="0"/>
    <col min="4" max="4" width="25.7109375" customWidth="true" style="0"/>
    <col min="5" max="5" width="3.5703125" customWidth="true" style="0"/>
    <col min="6" max="6" width="25.7109375" customWidth="true" style="0"/>
  </cols>
  <sheetData>
    <row r="1" spans="1:6" customHeight="1" ht="15.75"/>
    <row r="2" spans="1:6">
      <c r="B2" s="68" t="s">
        <v>29</v>
      </c>
      <c r="C2" s="69"/>
      <c r="D2" s="70" t="s">
        <v>30</v>
      </c>
      <c r="E2" s="70"/>
      <c r="F2" s="62"/>
    </row>
    <row r="3" spans="1:6">
      <c r="B3" s="71"/>
      <c r="C3" s="72"/>
      <c r="D3" s="73" t="s">
        <v>31</v>
      </c>
      <c r="E3" s="73"/>
      <c r="F3" s="59" t="s">
        <v>32</v>
      </c>
    </row>
    <row r="4" spans="1:6">
      <c r="B4" s="74" t="s">
        <v>33</v>
      </c>
      <c r="C4" s="75"/>
      <c r="D4" s="75"/>
      <c r="E4" s="75"/>
      <c r="F4" s="76"/>
    </row>
    <row r="5" spans="1:6">
      <c r="B5" s="74" t="s">
        <v>34</v>
      </c>
      <c r="C5" s="75"/>
      <c r="D5" s="75"/>
      <c r="E5" s="75"/>
      <c r="F5" s="76"/>
    </row>
    <row r="6" spans="1:6" customHeight="1" ht="15.75">
      <c r="B6" s="77" t="s">
        <v>35</v>
      </c>
      <c r="C6" s="78"/>
      <c r="D6" s="79"/>
      <c r="E6" s="79"/>
      <c r="F6" s="56"/>
    </row>
    <row r="7" spans="1:6" customHeight="1" ht="15.75">
      <c r="B7" s="80"/>
      <c r="C7" s="81"/>
      <c r="D7" s="81"/>
      <c r="E7" s="81"/>
      <c r="F7" s="82"/>
    </row>
    <row r="8" spans="1:6">
      <c r="B8" s="83" t="s">
        <v>36</v>
      </c>
      <c r="C8" s="84"/>
      <c r="D8" s="84"/>
      <c r="E8" s="84"/>
      <c r="F8" s="85"/>
    </row>
    <row r="9" spans="1:6" customHeight="1" ht="30">
      <c r="B9" s="86" t="s">
        <v>37</v>
      </c>
      <c r="C9" s="87"/>
      <c r="D9" s="88" t="s">
        <v>38</v>
      </c>
      <c r="E9" s="87"/>
      <c r="F9" s="55" t="s">
        <v>39</v>
      </c>
    </row>
    <row r="10" spans="1:6" customHeight="1" ht="30" hidden="true">
      <c r="B10" s="64"/>
      <c r="C10" s="65"/>
      <c r="D10" s="66">
        <v>90</v>
      </c>
      <c r="E10" s="65"/>
      <c r="F10" s="61">
        <v>80</v>
      </c>
    </row>
    <row r="11" spans="1:6" customHeight="1" ht="30" hidden="true">
      <c r="B11" s="64">
        <v>4</v>
      </c>
      <c r="C11" s="65"/>
      <c r="D11" s="66">
        <v>2</v>
      </c>
      <c r="E11" s="65"/>
      <c r="F11" s="61">
        <v>0</v>
      </c>
    </row>
    <row r="12" spans="1:6" customHeight="1" ht="15.75">
      <c r="B12" s="89" t="s">
        <v>40</v>
      </c>
      <c r="C12" s="90"/>
      <c r="D12" s="90"/>
      <c r="E12" s="90"/>
      <c r="F12" s="91"/>
    </row>
    <row r="13" spans="1:6" customHeight="1" ht="15.75">
      <c r="B13" s="67"/>
      <c r="C13" s="67"/>
      <c r="D13" s="67"/>
      <c r="E13" s="67"/>
      <c r="F13" s="67"/>
    </row>
    <row r="14" spans="1:6">
      <c r="B14" s="57"/>
      <c r="C14" s="94" t="s">
        <v>41</v>
      </c>
      <c r="D14" s="94"/>
      <c r="E14" s="95" t="s">
        <v>42</v>
      </c>
      <c r="F14" s="96"/>
    </row>
    <row r="15" spans="1:6">
      <c r="B15" s="60">
        <v>1</v>
      </c>
      <c r="C15" s="92"/>
      <c r="D15" s="92"/>
      <c r="E15" s="87" t="str">
        <f>IF(C15&lt;$F$10,$F$11,IF(C15&lt;$D$10,$D$11,$B$11))</f>
        <v>0</v>
      </c>
      <c r="F15" s="93"/>
    </row>
    <row r="16" spans="1:6">
      <c r="B16" s="60">
        <v>2</v>
      </c>
      <c r="C16" s="92"/>
      <c r="D16" s="92"/>
      <c r="E16" s="87" t="str">
        <f>IF(C16&lt;$F$10,$F$11,IF(C16&lt;$D$10,$D$11,$B$11))</f>
        <v>0</v>
      </c>
      <c r="F16" s="93"/>
    </row>
    <row r="17" spans="1:6">
      <c r="B17" s="60">
        <v>3</v>
      </c>
      <c r="C17" s="92"/>
      <c r="D17" s="92"/>
      <c r="E17" s="87" t="str">
        <f>IF(C17&lt;$F$10,$F$11,IF(C17&lt;$D$10,$D$11,$B$11))</f>
        <v>0</v>
      </c>
      <c r="F17" s="93"/>
    </row>
    <row r="18" spans="1:6">
      <c r="B18" s="60">
        <v>4</v>
      </c>
      <c r="C18" s="92"/>
      <c r="D18" s="92"/>
      <c r="E18" s="87" t="str">
        <f>IF(C18&lt;$F$10,$F$11,IF(C18&lt;$D$10,$D$11,$B$11))</f>
        <v>0</v>
      </c>
      <c r="F18" s="93"/>
    </row>
    <row r="19" spans="1:6">
      <c r="B19" s="60">
        <v>5</v>
      </c>
      <c r="C19" s="92"/>
      <c r="D19" s="92"/>
      <c r="E19" s="87" t="str">
        <f>IF(C19&lt;$F$10,$F$11,IF(C19&lt;$D$10,$D$11,$B$11))</f>
        <v>0</v>
      </c>
      <c r="F19" s="93"/>
    </row>
    <row r="20" spans="1:6">
      <c r="B20" s="60">
        <v>6</v>
      </c>
      <c r="C20" s="92"/>
      <c r="D20" s="92"/>
      <c r="E20" s="87" t="str">
        <f>IF(C20&lt;$F$10,$F$11,IF(C20&lt;$D$10,$D$11,$B$11))</f>
        <v>0</v>
      </c>
      <c r="F20" s="93"/>
    </row>
    <row r="21" spans="1:6">
      <c r="B21" s="60">
        <v>7</v>
      </c>
      <c r="C21" s="92"/>
      <c r="D21" s="92"/>
      <c r="E21" s="87" t="str">
        <f>IF(C21&lt;$F$10,$F$11,IF(C21&lt;$D$10,$D$11,$B$11))</f>
        <v>0</v>
      </c>
      <c r="F21" s="93"/>
    </row>
    <row r="22" spans="1:6">
      <c r="B22" s="60">
        <v>8</v>
      </c>
      <c r="C22" s="92"/>
      <c r="D22" s="92"/>
      <c r="E22" s="87" t="str">
        <f>IF(C22&lt;$F$10,$F$11,IF(C22&lt;$D$10,$D$11,$B$11))</f>
        <v>0</v>
      </c>
      <c r="F22" s="93"/>
    </row>
    <row r="23" spans="1:6">
      <c r="B23" s="60">
        <v>9</v>
      </c>
      <c r="C23" s="92"/>
      <c r="D23" s="92"/>
      <c r="E23" s="87" t="str">
        <f>IF(C23&lt;$F$10,$F$11,IF(C23&lt;$D$10,$D$11,$B$11))</f>
        <v>0</v>
      </c>
      <c r="F23" s="93"/>
    </row>
    <row r="24" spans="1:6">
      <c r="B24" s="60">
        <v>10</v>
      </c>
      <c r="C24" s="92"/>
      <c r="D24" s="92"/>
      <c r="E24" s="87" t="str">
        <f>IF(C24&lt;$F$10,$F$11,IF(C24&lt;$D$10,$D$11,$B$11))</f>
        <v>0</v>
      </c>
      <c r="F24" s="93"/>
    </row>
    <row r="25" spans="1:6">
      <c r="B25" s="60">
        <v>11</v>
      </c>
      <c r="C25" s="92"/>
      <c r="D25" s="92"/>
      <c r="E25" s="87" t="str">
        <f>IF(C25&lt;$F$10,$F$11,IF(C25&lt;$D$10,$D$11,$B$11))</f>
        <v>0</v>
      </c>
      <c r="F25" s="93"/>
    </row>
    <row r="26" spans="1:6" customHeight="1" ht="15.75">
      <c r="B26" s="63">
        <v>12</v>
      </c>
      <c r="C26" s="97"/>
      <c r="D26" s="97"/>
      <c r="E26" s="98" t="str">
        <f>IF(C26&lt;$F$10,$F$11,IF(C26&lt;$D$10,$D$11,$B$11))</f>
        <v>0</v>
      </c>
      <c r="F26" s="9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C26:D26"/>
    <mergeCell ref="E26:F26"/>
    <mergeCell ref="C23:D23"/>
    <mergeCell ref="E23:F23"/>
    <mergeCell ref="C24:D24"/>
    <mergeCell ref="E24:F24"/>
    <mergeCell ref="C21:D21"/>
    <mergeCell ref="E21:F21"/>
    <mergeCell ref="C22:D22"/>
    <mergeCell ref="E22:F22"/>
    <mergeCell ref="C25:D25"/>
    <mergeCell ref="E25:F25"/>
    <mergeCell ref="B11:C11"/>
    <mergeCell ref="D11:E11"/>
    <mergeCell ref="C19:D19"/>
    <mergeCell ref="E19:F19"/>
    <mergeCell ref="C20:D20"/>
    <mergeCell ref="E20:F20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B10:C10"/>
    <mergeCell ref="D10:E10"/>
    <mergeCell ref="B13:F13"/>
    <mergeCell ref="B2:C2"/>
    <mergeCell ref="D2:E2"/>
    <mergeCell ref="B3:C3"/>
    <mergeCell ref="D3:E3"/>
    <mergeCell ref="B4:F4"/>
    <mergeCell ref="B6:C6"/>
    <mergeCell ref="D6:E6"/>
    <mergeCell ref="B5:F5"/>
    <mergeCell ref="B7:F7"/>
    <mergeCell ref="B8:F8"/>
    <mergeCell ref="B9:C9"/>
    <mergeCell ref="D9:E9"/>
    <mergeCell ref="B12:F12"/>
  </mergeCell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EX31"/>
  <sheetViews>
    <sheetView tabSelected="0" workbookViewId="0" showGridLines="true" showRowColHeaders="1">
      <selection activeCell="D19" sqref="D19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151" max="151" width="5.5703125" customWidth="true" style="1"/>
    <col min="152" max="152" width="9.42578125" customWidth="true" style="1"/>
    <col min="153" max="153" width="9.140625" customWidth="true" style="1"/>
    <col min="26" max="26" width="5.5703125" customWidth="true" style="0"/>
    <col min="27" max="27" width="5.5703125" customWidth="true" style="0"/>
    <col min="28" max="28" width="5.5703125" customWidth="true" style="0"/>
    <col min="29" max="29" width="5.5703125" customWidth="true" style="0"/>
    <col min="30" max="30" width="5.5703125" customWidth="true" style="0"/>
    <col min="31" max="31" width="5.5703125" customWidth="true" style="0"/>
    <col min="32" max="32" width="5.5703125" customWidth="true" style="0"/>
    <col min="33" max="33" width="5.5703125" customWidth="true" style="0"/>
    <col min="34" max="34" width="5.5703125" customWidth="true" style="0"/>
    <col min="35" max="35" width="5.5703125" customWidth="true" style="0"/>
    <col min="36" max="36" width="5.5703125" customWidth="true" style="0"/>
    <col min="37" max="37" width="5.5703125" customWidth="true" style="0"/>
    <col min="38" max="38" width="5.5703125" customWidth="true" style="0"/>
    <col min="39" max="39" width="5.5703125" customWidth="true" style="0"/>
    <col min="40" max="40" width="5.5703125" customWidth="true" style="0"/>
    <col min="41" max="41" width="5.5703125" customWidth="true" style="0"/>
    <col min="42" max="42" width="5.5703125" customWidth="true" style="0"/>
    <col min="43" max="43" width="5.5703125" customWidth="true" style="0"/>
    <col min="44" max="44" width="5.5703125" customWidth="true" style="0"/>
    <col min="45" max="45" width="5.5703125" customWidth="true" style="0"/>
    <col min="46" max="46" width="5.5703125" customWidth="true" style="0"/>
    <col min="47" max="47" width="5.5703125" customWidth="true" style="0"/>
    <col min="48" max="48" width="5.5703125" customWidth="true" style="0"/>
    <col min="49" max="49" width="5.5703125" customWidth="true" style="0"/>
    <col min="50" max="50" width="5.5703125" customWidth="true" style="0"/>
    <col min="51" max="51" width="5.5703125" customWidth="true" style="0"/>
    <col min="52" max="52" width="5.5703125" customWidth="true" style="0"/>
    <col min="53" max="53" width="5.5703125" customWidth="true" style="0"/>
    <col min="54" max="54" width="5.5703125" customWidth="true" style="0"/>
    <col min="55" max="55" width="5.5703125" customWidth="true" style="0"/>
    <col min="56" max="56" width="5.5703125" customWidth="true" style="0"/>
    <col min="57" max="57" width="5.5703125" customWidth="true" style="0"/>
    <col min="58" max="58" width="5.5703125" customWidth="true" style="0"/>
    <col min="59" max="59" width="5.5703125" customWidth="true" style="0"/>
    <col min="60" max="60" width="5.5703125" customWidth="true" style="0"/>
    <col min="61" max="61" width="5.5703125" customWidth="true" style="0"/>
    <col min="62" max="62" width="5.5703125" customWidth="true" style="0"/>
    <col min="63" max="63" width="5.5703125" customWidth="true" style="0"/>
    <col min="64" max="64" width="5.5703125" customWidth="true" style="0"/>
    <col min="65" max="65" width="5.5703125" customWidth="true" style="0"/>
    <col min="66" max="66" width="5.5703125" customWidth="true" style="0"/>
    <col min="67" max="67" width="5.5703125" customWidth="true" style="0"/>
    <col min="68" max="68" width="5.5703125" customWidth="true" style="0"/>
    <col min="69" max="69" width="5.5703125" customWidth="true" style="0"/>
    <col min="70" max="70" width="5.5703125" customWidth="true" style="0"/>
    <col min="71" max="71" width="5.5703125" customWidth="true" style="0"/>
    <col min="72" max="72" width="5.5703125" customWidth="true" style="0"/>
    <col min="73" max="73" width="5.5703125" customWidth="true" style="0"/>
    <col min="74" max="74" width="5.5703125" customWidth="true" style="0"/>
    <col min="75" max="75" width="5.5703125" customWidth="true" style="0"/>
    <col min="76" max="76" width="5.5703125" customWidth="true" style="0"/>
    <col min="77" max="77" width="5.5703125" customWidth="true" style="0"/>
    <col min="78" max="78" width="5.5703125" customWidth="true" style="0"/>
    <col min="79" max="79" width="5.5703125" customWidth="true" style="0"/>
    <col min="80" max="80" width="5.5703125" customWidth="true" style="0"/>
    <col min="81" max="81" width="5.5703125" customWidth="true" style="0"/>
    <col min="82" max="82" width="5.5703125" customWidth="true" style="0"/>
    <col min="83" max="83" width="5.5703125" customWidth="true" style="0"/>
    <col min="84" max="84" width="5.5703125" customWidth="true" style="0"/>
    <col min="85" max="85" width="5.5703125" customWidth="true" style="0"/>
    <col min="86" max="86" width="5.5703125" customWidth="true" style="0"/>
    <col min="87" max="87" width="5.5703125" customWidth="true" style="0"/>
    <col min="88" max="88" width="5.5703125" customWidth="true" style="0"/>
    <col min="89" max="89" width="5.5703125" customWidth="true" style="0"/>
    <col min="90" max="90" width="5.5703125" customWidth="true" style="0"/>
    <col min="91" max="91" width="5.5703125" customWidth="true" style="0"/>
    <col min="92" max="92" width="5.5703125" customWidth="true" style="0"/>
    <col min="93" max="93" width="5.5703125" customWidth="true" style="0"/>
    <col min="94" max="94" width="5.5703125" customWidth="true" style="0"/>
    <col min="95" max="95" width="5.5703125" customWidth="true" style="0"/>
    <col min="96" max="96" width="5.5703125" customWidth="true" style="0"/>
    <col min="97" max="97" width="5.5703125" customWidth="true" style="0"/>
    <col min="98" max="98" width="5.5703125" customWidth="true" style="0"/>
    <col min="99" max="99" width="5.5703125" customWidth="true" style="0"/>
    <col min="100" max="100" width="5.5703125" customWidth="true" style="0"/>
    <col min="101" max="101" width="5.5703125" customWidth="true" style="0"/>
    <col min="102" max="102" width="5.5703125" customWidth="true" style="0"/>
    <col min="103" max="103" width="5.5703125" customWidth="true" style="0"/>
    <col min="104" max="104" width="5.5703125" customWidth="true" style="0"/>
    <col min="105" max="105" width="5.5703125" customWidth="true" style="0"/>
    <col min="106" max="106" width="5.5703125" customWidth="true" style="0"/>
    <col min="107" max="107" width="5.5703125" customWidth="true" style="0"/>
    <col min="108" max="108" width="5.5703125" customWidth="true" style="0"/>
    <col min="109" max="109" width="5.5703125" customWidth="true" style="0"/>
    <col min="110" max="110" width="5.5703125" customWidth="true" style="0"/>
    <col min="111" max="111" width="5.5703125" customWidth="true" style="0"/>
    <col min="112" max="112" width="5.5703125" customWidth="true" style="0"/>
    <col min="113" max="113" width="5.5703125" customWidth="true" style="0"/>
    <col min="114" max="114" width="5.5703125" customWidth="true" style="0"/>
    <col min="115" max="115" width="5.5703125" customWidth="true" style="0"/>
    <col min="116" max="116" width="5.5703125" customWidth="true" style="0"/>
    <col min="117" max="117" width="5.5703125" customWidth="true" style="0"/>
    <col min="118" max="118" width="5.5703125" customWidth="true" style="0"/>
    <col min="119" max="119" width="5.5703125" customWidth="true" style="0"/>
    <col min="120" max="120" width="5.5703125" customWidth="true" style="0"/>
    <col min="121" max="121" width="5.5703125" customWidth="true" style="0"/>
    <col min="122" max="122" width="5.5703125" customWidth="true" style="0"/>
    <col min="123" max="123" width="5.5703125" customWidth="true" style="0"/>
    <col min="124" max="124" width="5.5703125" customWidth="true" style="0"/>
    <col min="125" max="125" width="5.5703125" customWidth="true" style="0"/>
    <col min="126" max="126" width="5.5703125" customWidth="true" style="0"/>
    <col min="127" max="127" width="5.5703125" customWidth="true" style="0"/>
    <col min="128" max="128" width="5.5703125" customWidth="true" style="0"/>
    <col min="129" max="129" width="5.5703125" customWidth="true" style="0"/>
    <col min="130" max="130" width="5.5703125" customWidth="true" style="0"/>
    <col min="131" max="131" width="5.5703125" customWidth="true" style="0"/>
    <col min="132" max="132" width="5.5703125" customWidth="true" style="0"/>
    <col min="133" max="133" width="5.5703125" customWidth="true" style="0"/>
    <col min="134" max="134" width="5.5703125" customWidth="true" style="0"/>
    <col min="135" max="135" width="5.5703125" customWidth="true" style="0"/>
    <col min="136" max="136" width="5.5703125" customWidth="true" style="0"/>
    <col min="137" max="137" width="5.5703125" customWidth="true" style="0"/>
    <col min="138" max="138" width="5.5703125" customWidth="true" style="0"/>
    <col min="139" max="139" width="5.5703125" customWidth="true" style="0"/>
    <col min="140" max="140" width="5.5703125" customWidth="true" style="0"/>
    <col min="141" max="141" width="5.5703125" customWidth="true" style="0"/>
    <col min="142" max="142" width="5.5703125" customWidth="true" style="0"/>
    <col min="143" max="143" width="5.5703125" customWidth="true" style="0"/>
    <col min="144" max="144" width="5.5703125" customWidth="true" style="0"/>
    <col min="145" max="145" width="5.5703125" customWidth="true" style="0"/>
    <col min="146" max="146" width="5.5703125" customWidth="true" style="0"/>
    <col min="147" max="147" width="5.5703125" customWidth="true" style="0"/>
    <col min="148" max="148" width="5.5703125" customWidth="true" style="0"/>
    <col min="149" max="149" width="5.5703125" customWidth="true" style="0"/>
    <col min="150" max="150" width="5.5703125" customWidth="true" style="0"/>
  </cols>
  <sheetData>
    <row r="1" spans="1:154" hidden="true">
      <c r="A1" s="1" t="s">
        <v>43</v>
      </c>
      <c r="B1" s="1" t="s">
        <v>44</v>
      </c>
      <c r="C1" s="1" t="s">
        <v>45</v>
      </c>
      <c r="D1" s="1" t="s">
        <v>46</v>
      </c>
      <c r="E1" s="1"/>
      <c r="F1" s="1" t="s">
        <v>47</v>
      </c>
      <c r="G1" s="1" t="s">
        <v>48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 t="s">
        <v>49</v>
      </c>
      <c r="EV1" s="1"/>
      <c r="EW1" s="1"/>
      <c r="EX1"/>
    </row>
    <row r="2" spans="1:154" hidden="true">
      <c r="A2" s="1" t="s">
        <v>50</v>
      </c>
      <c r="ES2" t="s">
        <v>51</v>
      </c>
    </row>
    <row r="3" spans="1:154" customHeight="1" ht="8.25">
      <c r="A3" s="1"/>
    </row>
    <row r="4" spans="1:154" customHeight="1" ht="18.75">
      <c r="A4" s="1"/>
      <c r="F4" s="12"/>
      <c r="G4" s="13" t="str">
        <f>IF(REPDEF!E2=1,"Availability Reporting",IF(REPDEF!E2=2,"Operationality Reporting","AMS Mode Reporting"))</f>
        <v>0</v>
      </c>
      <c r="H4" s="13"/>
      <c r="I4" s="13"/>
      <c r="J4" s="13"/>
      <c r="K4" s="14" t="str">
        <f>REPDEF!C2</f>
        <v>0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5"/>
    </row>
    <row r="5" spans="1:154" customHeight="1" ht="15.75">
      <c r="A5" s="1"/>
      <c r="F5" s="16"/>
      <c r="G5" s="17"/>
      <c r="H5" s="17"/>
      <c r="I5" s="17"/>
      <c r="J5" s="17"/>
      <c r="K5" s="100" t="str">
        <f>REPDEF!T2</f>
        <v>0</v>
      </c>
      <c r="L5" s="100"/>
      <c r="M5" s="51" t="s">
        <v>52</v>
      </c>
      <c r="N5" s="100" t="str">
        <f>REPDEF!U2</f>
        <v>0</v>
      </c>
      <c r="O5" s="100"/>
      <c r="P5" s="17"/>
      <c r="Q5" s="17"/>
      <c r="R5" s="17"/>
      <c r="S5" s="17"/>
      <c r="T5" s="17"/>
      <c r="U5" s="17"/>
      <c r="V5" s="8"/>
      <c r="W5" s="2"/>
      <c r="X5" s="9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8"/>
    </row>
    <row r="6" spans="1:154" customHeight="1" ht="15.75">
      <c r="A6" s="1"/>
      <c r="F6" s="19"/>
      <c r="G6" s="20" t="s">
        <v>53</v>
      </c>
      <c r="H6" s="20"/>
      <c r="I6" s="20" t="str">
        <f>REPDEF!G2</f>
        <v>0</v>
      </c>
      <c r="J6" s="20"/>
      <c r="K6" s="20"/>
      <c r="L6" s="21" t="str">
        <f>REPDEF!P2</f>
        <v>0</v>
      </c>
      <c r="M6" s="44" t="s">
        <v>52</v>
      </c>
      <c r="N6" s="21" t="str">
        <f>REPDEF!Q2</f>
        <v>0</v>
      </c>
      <c r="O6" s="20"/>
      <c r="P6" s="20"/>
      <c r="Q6" s="20"/>
      <c r="R6" s="20"/>
      <c r="S6" s="20"/>
      <c r="T6" s="20"/>
      <c r="U6" s="20"/>
      <c r="V6" s="10"/>
      <c r="W6" s="5"/>
      <c r="X6" s="11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2"/>
    </row>
    <row r="7" spans="1:154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</row>
    <row r="8" spans="1:154" customHeight="1" ht="122.1">
      <c r="A8" s="1" t="s">
        <v>54</v>
      </c>
      <c r="F8" s="29" t="s">
        <v>55</v>
      </c>
      <c r="G8" s="28" t="s">
        <v>56</v>
      </c>
      <c r="H8" s="23" t="s">
        <v>57</v>
      </c>
      <c r="I8" s="23" t="s">
        <v>58</v>
      </c>
      <c r="J8" s="23" t="s">
        <v>59</v>
      </c>
      <c r="K8" s="23" t="s">
        <v>60</v>
      </c>
      <c r="L8" s="23" t="s">
        <v>61</v>
      </c>
      <c r="M8" s="23" t="s">
        <v>62</v>
      </c>
      <c r="N8" s="23" t="s">
        <v>63</v>
      </c>
      <c r="O8" s="23" t="s">
        <v>64</v>
      </c>
      <c r="P8" s="23" t="s">
        <v>65</v>
      </c>
      <c r="Q8" s="23" t="s">
        <v>66</v>
      </c>
      <c r="R8" s="23" t="s">
        <v>67</v>
      </c>
      <c r="S8" s="23" t="s">
        <v>68</v>
      </c>
      <c r="T8" s="23" t="s">
        <v>69</v>
      </c>
      <c r="U8" s="23" t="s">
        <v>70</v>
      </c>
      <c r="V8" s="23" t="s">
        <v>71</v>
      </c>
      <c r="W8" s="23" t="s">
        <v>72</v>
      </c>
      <c r="X8" s="23" t="s">
        <v>73</v>
      </c>
      <c r="Y8" s="23" t="s">
        <v>74</v>
      </c>
      <c r="Z8" s="23" t="s">
        <v>75</v>
      </c>
      <c r="AA8" s="23" t="s">
        <v>76</v>
      </c>
      <c r="AB8" s="23" t="s">
        <v>77</v>
      </c>
      <c r="AC8" s="23" t="s">
        <v>78</v>
      </c>
      <c r="AD8" s="23" t="s">
        <v>79</v>
      </c>
      <c r="AE8" s="23" t="s">
        <v>80</v>
      </c>
      <c r="AF8" s="23" t="s">
        <v>81</v>
      </c>
      <c r="AG8" s="23" t="s">
        <v>82</v>
      </c>
      <c r="AH8" s="23" t="s">
        <v>83</v>
      </c>
      <c r="AI8" s="23" t="s">
        <v>84</v>
      </c>
      <c r="AJ8" s="23" t="s">
        <v>85</v>
      </c>
      <c r="AK8" s="23" t="s">
        <v>86</v>
      </c>
      <c r="AL8" s="23" t="s">
        <v>87</v>
      </c>
      <c r="AM8" s="23" t="s">
        <v>88</v>
      </c>
      <c r="AN8" s="23" t="s">
        <v>89</v>
      </c>
      <c r="AO8" s="23" t="s">
        <v>90</v>
      </c>
      <c r="AP8" s="23" t="s">
        <v>91</v>
      </c>
      <c r="AQ8" s="23" t="s">
        <v>92</v>
      </c>
      <c r="AR8" s="23" t="s">
        <v>93</v>
      </c>
      <c r="AS8" s="23" t="s">
        <v>94</v>
      </c>
      <c r="AT8" s="23" t="s">
        <v>95</v>
      </c>
      <c r="AU8" s="23" t="s">
        <v>96</v>
      </c>
      <c r="AV8" s="23" t="s">
        <v>97</v>
      </c>
      <c r="AW8" s="23" t="s">
        <v>98</v>
      </c>
      <c r="AX8" s="23" t="s">
        <v>99</v>
      </c>
      <c r="AY8" s="23" t="s">
        <v>100</v>
      </c>
      <c r="AZ8" s="23" t="s">
        <v>101</v>
      </c>
      <c r="BA8" s="23" t="s">
        <v>102</v>
      </c>
      <c r="BB8" s="23" t="s">
        <v>103</v>
      </c>
      <c r="BC8" s="23" t="s">
        <v>104</v>
      </c>
      <c r="BD8" s="23" t="s">
        <v>105</v>
      </c>
      <c r="BE8" s="23" t="s">
        <v>106</v>
      </c>
      <c r="BF8" s="23" t="s">
        <v>107</v>
      </c>
      <c r="BG8" s="23" t="s">
        <v>108</v>
      </c>
      <c r="BH8" s="23" t="s">
        <v>109</v>
      </c>
      <c r="BI8" s="23" t="s">
        <v>110</v>
      </c>
      <c r="BJ8" s="23" t="s">
        <v>111</v>
      </c>
      <c r="BK8" s="23" t="s">
        <v>112</v>
      </c>
      <c r="BL8" s="23" t="s">
        <v>113</v>
      </c>
      <c r="BM8" s="23" t="s">
        <v>114</v>
      </c>
      <c r="BN8" s="23" t="s">
        <v>115</v>
      </c>
      <c r="BO8" s="23" t="s">
        <v>116</v>
      </c>
      <c r="BP8" s="23" t="s">
        <v>117</v>
      </c>
      <c r="BQ8" s="23" t="s">
        <v>118</v>
      </c>
      <c r="BR8" s="23" t="s">
        <v>119</v>
      </c>
      <c r="BS8" s="23" t="s">
        <v>120</v>
      </c>
      <c r="BT8" s="23" t="s">
        <v>121</v>
      </c>
      <c r="BU8" s="23" t="s">
        <v>122</v>
      </c>
      <c r="BV8" s="23" t="s">
        <v>123</v>
      </c>
      <c r="BW8" s="23" t="s">
        <v>124</v>
      </c>
      <c r="BX8" s="23" t="s">
        <v>125</v>
      </c>
      <c r="BY8" s="23" t="s">
        <v>126</v>
      </c>
      <c r="BZ8" s="23" t="s">
        <v>127</v>
      </c>
      <c r="CA8" s="23" t="s">
        <v>128</v>
      </c>
      <c r="CB8" s="23" t="s">
        <v>129</v>
      </c>
      <c r="CC8" s="23" t="s">
        <v>130</v>
      </c>
      <c r="CD8" s="23" t="s">
        <v>131</v>
      </c>
      <c r="CE8" s="23" t="s">
        <v>132</v>
      </c>
      <c r="CF8" s="23" t="s">
        <v>133</v>
      </c>
      <c r="CG8" s="23" t="s">
        <v>134</v>
      </c>
      <c r="CH8" s="23" t="s">
        <v>135</v>
      </c>
      <c r="CI8" s="23" t="s">
        <v>136</v>
      </c>
      <c r="CJ8" s="23" t="s">
        <v>137</v>
      </c>
      <c r="CK8" s="23" t="s">
        <v>138</v>
      </c>
      <c r="CL8" s="23" t="s">
        <v>139</v>
      </c>
      <c r="CM8" s="23" t="s">
        <v>140</v>
      </c>
      <c r="CN8" s="23" t="s">
        <v>141</v>
      </c>
      <c r="CO8" s="23" t="s">
        <v>142</v>
      </c>
      <c r="CP8" s="23" t="s">
        <v>143</v>
      </c>
      <c r="CQ8" s="23" t="s">
        <v>144</v>
      </c>
      <c r="CR8" s="23" t="s">
        <v>145</v>
      </c>
      <c r="CS8" s="23" t="s">
        <v>146</v>
      </c>
      <c r="CT8" s="23" t="s">
        <v>147</v>
      </c>
      <c r="CU8" s="23" t="s">
        <v>148</v>
      </c>
      <c r="CV8" s="23" t="s">
        <v>149</v>
      </c>
      <c r="CW8" s="23" t="s">
        <v>150</v>
      </c>
      <c r="CX8" s="23" t="s">
        <v>151</v>
      </c>
      <c r="CY8" s="23" t="s">
        <v>152</v>
      </c>
      <c r="CZ8" s="23" t="s">
        <v>153</v>
      </c>
      <c r="DA8" s="23" t="s">
        <v>154</v>
      </c>
      <c r="DB8" s="23" t="s">
        <v>155</v>
      </c>
      <c r="DC8" s="23" t="s">
        <v>156</v>
      </c>
      <c r="DD8" s="23" t="s">
        <v>157</v>
      </c>
      <c r="DE8" s="23" t="s">
        <v>158</v>
      </c>
      <c r="DF8" s="23" t="s">
        <v>159</v>
      </c>
      <c r="DG8" s="23" t="s">
        <v>160</v>
      </c>
      <c r="DH8" s="23" t="s">
        <v>161</v>
      </c>
      <c r="DI8" s="23" t="s">
        <v>162</v>
      </c>
      <c r="DJ8" s="23" t="s">
        <v>163</v>
      </c>
      <c r="DK8" s="23" t="s">
        <v>164</v>
      </c>
      <c r="DL8" s="23" t="s">
        <v>165</v>
      </c>
      <c r="DM8" s="23" t="s">
        <v>166</v>
      </c>
      <c r="DN8" s="23" t="s">
        <v>167</v>
      </c>
      <c r="DO8" s="23" t="s">
        <v>168</v>
      </c>
      <c r="DP8" s="23" t="s">
        <v>169</v>
      </c>
      <c r="DQ8" s="23" t="s">
        <v>170</v>
      </c>
      <c r="DR8" s="23" t="s">
        <v>171</v>
      </c>
      <c r="DS8" s="23" t="s">
        <v>172</v>
      </c>
      <c r="DT8" s="23" t="s">
        <v>173</v>
      </c>
      <c r="DU8" s="23" t="s">
        <v>174</v>
      </c>
      <c r="DV8" s="23" t="s">
        <v>175</v>
      </c>
      <c r="DW8" s="23" t="s">
        <v>176</v>
      </c>
      <c r="DX8" s="23" t="s">
        <v>177</v>
      </c>
      <c r="DY8" s="23" t="s">
        <v>178</v>
      </c>
      <c r="DZ8" s="23" t="s">
        <v>179</v>
      </c>
      <c r="EA8" s="23" t="s">
        <v>180</v>
      </c>
      <c r="EB8" s="23" t="s">
        <v>181</v>
      </c>
      <c r="EC8" s="23" t="s">
        <v>182</v>
      </c>
      <c r="ED8" s="23" t="s">
        <v>183</v>
      </c>
      <c r="EE8" s="23" t="s">
        <v>184</v>
      </c>
      <c r="EF8" s="23" t="s">
        <v>185</v>
      </c>
      <c r="EG8" s="23" t="s">
        <v>186</v>
      </c>
      <c r="EH8" s="23" t="s">
        <v>187</v>
      </c>
      <c r="EI8" s="23" t="s">
        <v>188</v>
      </c>
      <c r="EJ8" s="23" t="s">
        <v>189</v>
      </c>
      <c r="EK8" s="23" t="s">
        <v>190</v>
      </c>
      <c r="EL8" s="23" t="s">
        <v>191</v>
      </c>
      <c r="EM8" s="23" t="s">
        <v>192</v>
      </c>
      <c r="EN8" s="23" t="s">
        <v>193</v>
      </c>
      <c r="EO8" s="23" t="s">
        <v>194</v>
      </c>
      <c r="EP8" s="23" t="s">
        <v>195</v>
      </c>
      <c r="EQ8" s="23" t="s">
        <v>196</v>
      </c>
      <c r="ER8" s="23" t="s">
        <v>197</v>
      </c>
      <c r="ES8" s="23" t="s">
        <v>198</v>
      </c>
      <c r="ET8" s="23"/>
      <c r="EU8" s="24"/>
    </row>
    <row r="9" spans="1:154" hidden="true">
      <c r="A9" s="1" t="s">
        <v>199</v>
      </c>
      <c r="F9" s="25" t="s">
        <v>199</v>
      </c>
      <c r="G9" s="45"/>
      <c r="H9" s="46">
        <v>98</v>
      </c>
      <c r="I9" s="46">
        <v>98</v>
      </c>
      <c r="J9" s="46">
        <v>98</v>
      </c>
      <c r="K9" s="46">
        <v>98</v>
      </c>
      <c r="L9" s="46">
        <v>98</v>
      </c>
      <c r="M9" s="46">
        <v>98</v>
      </c>
      <c r="N9" s="46">
        <v>98</v>
      </c>
      <c r="O9" s="46">
        <v>98</v>
      </c>
      <c r="P9" s="46">
        <v>98</v>
      </c>
      <c r="Q9" s="46">
        <v>98</v>
      </c>
      <c r="R9" s="46">
        <v>98</v>
      </c>
      <c r="S9" s="46">
        <v>98</v>
      </c>
      <c r="T9" s="46">
        <v>98</v>
      </c>
      <c r="U9" s="46">
        <v>98</v>
      </c>
      <c r="V9" s="46">
        <v>98</v>
      </c>
      <c r="W9" s="46">
        <v>98</v>
      </c>
      <c r="X9" s="46">
        <v>98</v>
      </c>
      <c r="Y9" s="46">
        <v>98</v>
      </c>
      <c r="Z9" s="46">
        <v>98</v>
      </c>
      <c r="AA9" s="46">
        <v>98</v>
      </c>
      <c r="AB9" s="46">
        <v>98</v>
      </c>
      <c r="AC9" s="46">
        <v>98</v>
      </c>
      <c r="AD9" s="46">
        <v>98</v>
      </c>
      <c r="AE9" s="46">
        <v>98</v>
      </c>
      <c r="AF9" s="46">
        <v>98</v>
      </c>
      <c r="AG9" s="46">
        <v>98</v>
      </c>
      <c r="AH9" s="46">
        <v>98</v>
      </c>
      <c r="AI9" s="46">
        <v>98</v>
      </c>
      <c r="AJ9" s="46">
        <v>98</v>
      </c>
      <c r="AK9" s="46">
        <v>98</v>
      </c>
      <c r="AL9" s="46">
        <v>98</v>
      </c>
      <c r="AM9" s="46">
        <v>98</v>
      </c>
      <c r="AN9" s="46">
        <v>98</v>
      </c>
      <c r="AO9" s="46">
        <v>98</v>
      </c>
      <c r="AP9" s="46">
        <v>98</v>
      </c>
      <c r="AQ9" s="46">
        <v>98</v>
      </c>
      <c r="AR9" s="46">
        <v>98</v>
      </c>
      <c r="AS9" s="46">
        <v>98</v>
      </c>
      <c r="AT9" s="46">
        <v>98</v>
      </c>
      <c r="AU9" s="46">
        <v>98</v>
      </c>
      <c r="AV9" s="46">
        <v>98</v>
      </c>
      <c r="AW9" s="46">
        <v>98</v>
      </c>
      <c r="AX9" s="46">
        <v>98</v>
      </c>
      <c r="AY9" s="46">
        <v>98</v>
      </c>
      <c r="AZ9" s="46">
        <v>98</v>
      </c>
      <c r="BA9" s="46">
        <v>98</v>
      </c>
      <c r="BB9" s="46">
        <v>98</v>
      </c>
      <c r="BC9" s="46">
        <v>98</v>
      </c>
      <c r="BD9" s="46">
        <v>98</v>
      </c>
      <c r="BE9" s="46">
        <v>98</v>
      </c>
      <c r="BF9" s="46">
        <v>98</v>
      </c>
      <c r="BG9" s="46">
        <v>98</v>
      </c>
      <c r="BH9" s="46">
        <v>98</v>
      </c>
      <c r="BI9" s="46">
        <v>98</v>
      </c>
      <c r="BJ9" s="46">
        <v>98</v>
      </c>
      <c r="BK9" s="46">
        <v>98</v>
      </c>
      <c r="BL9" s="46">
        <v>98</v>
      </c>
      <c r="BM9" s="46">
        <v>98</v>
      </c>
      <c r="BN9" s="46">
        <v>98</v>
      </c>
      <c r="BO9" s="46">
        <v>98</v>
      </c>
      <c r="BP9" s="46">
        <v>98</v>
      </c>
      <c r="BQ9" s="46">
        <v>98</v>
      </c>
      <c r="BR9" s="46">
        <v>98</v>
      </c>
      <c r="BS9" s="46">
        <v>98</v>
      </c>
      <c r="BT9" s="46">
        <v>98</v>
      </c>
      <c r="BU9" s="46">
        <v>98</v>
      </c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>
        <v>98</v>
      </c>
      <c r="CH9" s="46">
        <v>98</v>
      </c>
      <c r="CI9" s="46">
        <v>98</v>
      </c>
      <c r="CJ9" s="46">
        <v>98</v>
      </c>
      <c r="CK9" s="46">
        <v>98</v>
      </c>
      <c r="CL9" s="46">
        <v>98</v>
      </c>
      <c r="CM9" s="46">
        <v>98</v>
      </c>
      <c r="CN9" s="46">
        <v>98</v>
      </c>
      <c r="CO9" s="46">
        <v>98</v>
      </c>
      <c r="CP9" s="46">
        <v>98</v>
      </c>
      <c r="CQ9" s="46">
        <v>98</v>
      </c>
      <c r="CR9" s="46">
        <v>98</v>
      </c>
      <c r="CS9" s="46">
        <v>98</v>
      </c>
      <c r="CT9" s="46">
        <v>98</v>
      </c>
      <c r="CU9" s="46">
        <v>98</v>
      </c>
      <c r="CV9" s="46">
        <v>98</v>
      </c>
      <c r="CW9" s="46">
        <v>98</v>
      </c>
      <c r="CX9" s="46">
        <v>98</v>
      </c>
      <c r="CY9" s="46">
        <v>98</v>
      </c>
      <c r="CZ9" s="46">
        <v>98</v>
      </c>
      <c r="DA9" s="46">
        <v>98</v>
      </c>
      <c r="DB9" s="46">
        <v>98</v>
      </c>
      <c r="DC9" s="46">
        <v>98</v>
      </c>
      <c r="DD9" s="46">
        <v>98</v>
      </c>
      <c r="DE9" s="46">
        <v>98</v>
      </c>
      <c r="DF9" s="46">
        <v>98</v>
      </c>
      <c r="DG9" s="46">
        <v>98</v>
      </c>
      <c r="DH9" s="46">
        <v>98</v>
      </c>
      <c r="DI9" s="46">
        <v>98</v>
      </c>
      <c r="DJ9" s="46">
        <v>98</v>
      </c>
      <c r="DK9" s="46">
        <v>98</v>
      </c>
      <c r="DL9" s="46">
        <v>98</v>
      </c>
      <c r="DM9" s="46">
        <v>98</v>
      </c>
      <c r="DN9" s="46">
        <v>98</v>
      </c>
      <c r="DO9" s="46">
        <v>98</v>
      </c>
      <c r="DP9" s="46">
        <v>98</v>
      </c>
      <c r="DQ9" s="46">
        <v>98</v>
      </c>
      <c r="DR9" s="46">
        <v>98</v>
      </c>
      <c r="DS9" s="46">
        <v>98</v>
      </c>
      <c r="DT9" s="46">
        <v>98</v>
      </c>
      <c r="DU9" s="46"/>
      <c r="DV9" s="46"/>
      <c r="DW9" s="46"/>
      <c r="DX9" s="46"/>
      <c r="DY9" s="46"/>
      <c r="DZ9" s="46"/>
      <c r="EA9" s="46"/>
      <c r="EB9" s="46"/>
      <c r="EC9" s="46">
        <v>98</v>
      </c>
      <c r="ED9" s="46">
        <v>98</v>
      </c>
      <c r="EE9" s="46">
        <v>98</v>
      </c>
      <c r="EF9" s="46">
        <v>98</v>
      </c>
      <c r="EG9" s="46">
        <v>98</v>
      </c>
      <c r="EH9" s="46">
        <v>98</v>
      </c>
      <c r="EI9" s="46">
        <v>98</v>
      </c>
      <c r="EJ9" s="46">
        <v>98</v>
      </c>
      <c r="EK9" s="46">
        <v>98</v>
      </c>
      <c r="EL9" s="46">
        <v>98</v>
      </c>
      <c r="EM9" s="46">
        <v>98</v>
      </c>
      <c r="EN9" s="46"/>
      <c r="EO9" s="46"/>
      <c r="EP9" s="46"/>
      <c r="EQ9" s="46"/>
      <c r="ER9" s="46"/>
      <c r="ES9" s="46">
        <v>1</v>
      </c>
      <c r="ET9" s="46"/>
      <c r="EU9" s="47"/>
    </row>
    <row r="10" spans="1:154" customHeight="1" ht="15.75" hidden="true">
      <c r="A10" s="1" t="s">
        <v>200</v>
      </c>
      <c r="F10" s="30" t="s">
        <v>201</v>
      </c>
      <c r="G10" s="48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  <c r="DF10" s="49"/>
      <c r="DG10" s="49"/>
      <c r="DH10" s="49"/>
      <c r="DI10" s="49"/>
      <c r="DJ10" s="49"/>
      <c r="DK10" s="49"/>
      <c r="DL10" s="49"/>
      <c r="DM10" s="49"/>
      <c r="DN10" s="49"/>
      <c r="DO10" s="49"/>
      <c r="DP10" s="49"/>
      <c r="DQ10" s="49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  <c r="ES10" s="49"/>
      <c r="ET10" s="49"/>
      <c r="EU10" s="50"/>
    </row>
    <row r="11" spans="1:154">
      <c r="A11" s="1" t="s">
        <v>202</v>
      </c>
      <c r="B11" s="1">
        <v>0</v>
      </c>
      <c r="C11" s="101">
        <v>44197</v>
      </c>
      <c r="D11" s="101">
        <v>44227.999988426</v>
      </c>
      <c r="F11" s="31">
        <v>1</v>
      </c>
      <c r="G11" s="32">
        <v>100</v>
      </c>
      <c r="H11" s="33">
        <v>100</v>
      </c>
      <c r="I11" s="33">
        <v>0</v>
      </c>
      <c r="J11" s="33">
        <v>100</v>
      </c>
      <c r="K11" s="33">
        <v>100</v>
      </c>
      <c r="L11" s="33">
        <v>100</v>
      </c>
      <c r="M11" s="33">
        <v>100</v>
      </c>
      <c r="N11" s="33">
        <v>100</v>
      </c>
      <c r="O11" s="33">
        <v>100</v>
      </c>
      <c r="P11" s="33">
        <v>100</v>
      </c>
      <c r="Q11" s="33">
        <v>100</v>
      </c>
      <c r="R11" s="33">
        <v>100</v>
      </c>
      <c r="S11" s="38">
        <v>100</v>
      </c>
      <c r="T11" s="38">
        <v>100</v>
      </c>
      <c r="U11" s="33">
        <v>12.2746</v>
      </c>
      <c r="V11" s="33">
        <v>100</v>
      </c>
      <c r="W11" s="33">
        <v>100</v>
      </c>
      <c r="X11" s="33">
        <v>100</v>
      </c>
      <c r="Y11" s="33">
        <v>100</v>
      </c>
      <c r="Z11" s="33">
        <v>100</v>
      </c>
      <c r="AA11" s="33">
        <v>0</v>
      </c>
      <c r="AB11" s="33">
        <v>100</v>
      </c>
      <c r="AC11" s="33">
        <v>100</v>
      </c>
      <c r="AD11" s="33">
        <v>100</v>
      </c>
      <c r="AE11" s="33">
        <v>0.0009</v>
      </c>
      <c r="AF11" s="33">
        <v>100</v>
      </c>
      <c r="AG11" s="33">
        <v>100</v>
      </c>
      <c r="AH11" s="33">
        <v>100</v>
      </c>
      <c r="AI11" s="33">
        <v>100</v>
      </c>
      <c r="AJ11" s="33">
        <v>99.9126</v>
      </c>
      <c r="AK11" s="33">
        <v>100</v>
      </c>
      <c r="AL11" s="33">
        <v>100</v>
      </c>
      <c r="AM11" s="33">
        <v>100</v>
      </c>
      <c r="AN11" s="33">
        <v>100</v>
      </c>
      <c r="AO11" s="33">
        <v>100</v>
      </c>
      <c r="AP11" s="33">
        <v>100</v>
      </c>
      <c r="AQ11" s="33">
        <v>100</v>
      </c>
      <c r="AR11" s="33">
        <v>98.5115</v>
      </c>
      <c r="AS11" s="33">
        <v>100</v>
      </c>
      <c r="AT11" s="33">
        <v>98.7426</v>
      </c>
      <c r="AU11" s="33">
        <v>100</v>
      </c>
      <c r="AV11" s="33">
        <v>100</v>
      </c>
      <c r="AW11" s="33">
        <v>100</v>
      </c>
      <c r="AX11" s="33">
        <v>56.1885</v>
      </c>
      <c r="AY11" s="33">
        <v>100</v>
      </c>
      <c r="AZ11" s="33">
        <v>100</v>
      </c>
      <c r="BA11" s="33">
        <v>99.9151</v>
      </c>
      <c r="BB11" s="33">
        <v>99.9118</v>
      </c>
      <c r="BC11" s="33">
        <v>99.9095</v>
      </c>
      <c r="BD11" s="33">
        <v>100</v>
      </c>
      <c r="BE11" s="33">
        <v>100</v>
      </c>
      <c r="BF11" s="33">
        <v>100</v>
      </c>
      <c r="BG11" s="33">
        <v>100</v>
      </c>
      <c r="BH11" s="33">
        <v>100</v>
      </c>
      <c r="BI11" s="33">
        <v>100</v>
      </c>
      <c r="BJ11" s="33">
        <v>100</v>
      </c>
      <c r="BK11" s="33">
        <v>100</v>
      </c>
      <c r="BL11" s="33">
        <v>100</v>
      </c>
      <c r="BM11" s="33">
        <v>100</v>
      </c>
      <c r="BN11" s="33">
        <v>99.8681</v>
      </c>
      <c r="BO11" s="33">
        <v>100</v>
      </c>
      <c r="BP11" s="33">
        <v>0</v>
      </c>
      <c r="BQ11" s="33">
        <v>100</v>
      </c>
      <c r="BR11" s="33">
        <v>100</v>
      </c>
      <c r="BS11" s="33">
        <v>78.9067</v>
      </c>
      <c r="BT11" s="33">
        <v>76.1348</v>
      </c>
      <c r="BU11" s="33">
        <v>100</v>
      </c>
      <c r="BV11" s="33">
        <v>100</v>
      </c>
      <c r="BW11" s="33">
        <v>100</v>
      </c>
      <c r="BX11" s="33">
        <v>100</v>
      </c>
      <c r="BY11" s="33">
        <v>100</v>
      </c>
      <c r="BZ11" s="33">
        <v>100</v>
      </c>
      <c r="CA11" s="33">
        <v>100</v>
      </c>
      <c r="CB11" s="33">
        <v>100</v>
      </c>
      <c r="CC11" s="33">
        <v>99.9332</v>
      </c>
      <c r="CD11" s="33">
        <v>100</v>
      </c>
      <c r="CE11" s="33">
        <v>100</v>
      </c>
      <c r="CF11" s="33">
        <v>100</v>
      </c>
      <c r="CG11" s="33">
        <v>99.6956</v>
      </c>
      <c r="CH11" s="33">
        <v>99.9308</v>
      </c>
      <c r="CI11" s="33">
        <v>99.6402</v>
      </c>
      <c r="CJ11" s="33">
        <v>66.5162</v>
      </c>
      <c r="CK11" s="33">
        <v>99.7336</v>
      </c>
      <c r="CL11" s="33">
        <v>99.45</v>
      </c>
      <c r="CM11" s="33">
        <v>99.0851</v>
      </c>
      <c r="CN11" s="33">
        <v>100</v>
      </c>
      <c r="CO11" s="33">
        <v>100</v>
      </c>
      <c r="CP11" s="33">
        <v>100</v>
      </c>
      <c r="CQ11" s="33">
        <v>100</v>
      </c>
      <c r="CR11" s="33">
        <v>100</v>
      </c>
      <c r="CS11" s="33">
        <v>2.0243</v>
      </c>
      <c r="CT11" s="33">
        <v>100</v>
      </c>
      <c r="CU11" s="33">
        <v>100</v>
      </c>
      <c r="CV11" s="33">
        <v>100</v>
      </c>
      <c r="CW11" s="33">
        <v>100</v>
      </c>
      <c r="CX11" s="33">
        <v>100</v>
      </c>
      <c r="CY11" s="33">
        <v>100</v>
      </c>
      <c r="CZ11" s="33">
        <v>100</v>
      </c>
      <c r="DA11" s="33">
        <v>100</v>
      </c>
      <c r="DB11" s="33">
        <v>100</v>
      </c>
      <c r="DC11" s="33">
        <v>100</v>
      </c>
      <c r="DD11" s="33">
        <v>100</v>
      </c>
      <c r="DE11" s="33">
        <v>100</v>
      </c>
      <c r="DF11" s="33">
        <v>99.6708</v>
      </c>
      <c r="DG11" s="33">
        <v>100</v>
      </c>
      <c r="DH11" s="33">
        <v>99.7066</v>
      </c>
      <c r="DI11" s="33">
        <v>97.2071</v>
      </c>
      <c r="DJ11" s="33">
        <v>99.4969</v>
      </c>
      <c r="DK11" s="33">
        <v>0</v>
      </c>
      <c r="DL11" s="33">
        <v>100</v>
      </c>
      <c r="DM11" s="33">
        <v>100</v>
      </c>
      <c r="DN11" s="33">
        <v>100</v>
      </c>
      <c r="DO11" s="33">
        <v>84.9353</v>
      </c>
      <c r="DP11" s="33">
        <v>99.9468</v>
      </c>
      <c r="DQ11" s="33">
        <v>99.6254</v>
      </c>
      <c r="DR11" s="33">
        <v>100</v>
      </c>
      <c r="DS11" s="33">
        <v>100</v>
      </c>
      <c r="DT11" s="33">
        <v>100</v>
      </c>
      <c r="DU11" s="33">
        <v>100</v>
      </c>
      <c r="DV11" s="33">
        <v>100</v>
      </c>
      <c r="DW11" s="33">
        <v>43.2525</v>
      </c>
      <c r="DX11" s="33">
        <v>100</v>
      </c>
      <c r="DY11" s="33">
        <v>100</v>
      </c>
      <c r="DZ11" s="33">
        <v>100</v>
      </c>
      <c r="EA11" s="33">
        <v>100</v>
      </c>
      <c r="EB11" s="33">
        <v>99.9969</v>
      </c>
      <c r="EC11" s="33">
        <v>100</v>
      </c>
      <c r="ED11" s="33">
        <v>100</v>
      </c>
      <c r="EE11" s="33">
        <v>100</v>
      </c>
      <c r="EF11" s="33">
        <v>100</v>
      </c>
      <c r="EG11" s="33">
        <v>100</v>
      </c>
      <c r="EH11" s="33">
        <v>100</v>
      </c>
      <c r="EI11" s="33">
        <v>100</v>
      </c>
      <c r="EJ11" s="33">
        <v>100</v>
      </c>
      <c r="EK11" s="33">
        <v>100</v>
      </c>
      <c r="EL11" s="33">
        <v>100</v>
      </c>
      <c r="EM11" s="33">
        <v>100</v>
      </c>
      <c r="EN11" s="33">
        <v>100</v>
      </c>
      <c r="EO11" s="33">
        <v>100</v>
      </c>
      <c r="EP11" s="33">
        <v>100</v>
      </c>
      <c r="EQ11" s="33">
        <v>100</v>
      </c>
      <c r="ER11" s="33">
        <v>100</v>
      </c>
      <c r="ES11" s="33">
        <v>93.733268627171</v>
      </c>
      <c r="ET11" s="33"/>
      <c r="EU11" s="41"/>
    </row>
    <row r="12" spans="1:154">
      <c r="A12" s="1"/>
      <c r="B12" s="1">
        <v>1</v>
      </c>
      <c r="C12" s="101">
        <v>44228</v>
      </c>
      <c r="D12" s="101">
        <v>44255.999988426</v>
      </c>
      <c r="F12" s="26">
        <v>2</v>
      </c>
      <c r="G12" s="34">
        <v>100</v>
      </c>
      <c r="H12" s="35">
        <v>100</v>
      </c>
      <c r="I12" s="35">
        <v>0</v>
      </c>
      <c r="J12" s="35">
        <v>100</v>
      </c>
      <c r="K12" s="35">
        <v>100</v>
      </c>
      <c r="L12" s="35">
        <v>100</v>
      </c>
      <c r="M12" s="35">
        <v>96.7177</v>
      </c>
      <c r="N12" s="35">
        <v>5.7139</v>
      </c>
      <c r="O12" s="35">
        <v>100</v>
      </c>
      <c r="P12" s="35">
        <v>98.9195</v>
      </c>
      <c r="Q12" s="35">
        <v>100</v>
      </c>
      <c r="R12" s="35">
        <v>100</v>
      </c>
      <c r="S12" s="39">
        <v>100</v>
      </c>
      <c r="T12" s="39">
        <v>100</v>
      </c>
      <c r="U12" s="35">
        <v>72.8017</v>
      </c>
      <c r="V12" s="35">
        <v>100</v>
      </c>
      <c r="W12" s="35">
        <v>100</v>
      </c>
      <c r="X12" s="35">
        <v>78.3269</v>
      </c>
      <c r="Y12" s="35">
        <v>100</v>
      </c>
      <c r="Z12" s="35">
        <v>77.6255</v>
      </c>
      <c r="AA12" s="35">
        <v>76.5834</v>
      </c>
      <c r="AB12" s="35">
        <v>100</v>
      </c>
      <c r="AC12" s="35">
        <v>100</v>
      </c>
      <c r="AD12" s="35">
        <v>100</v>
      </c>
      <c r="AE12" s="35">
        <v>0</v>
      </c>
      <c r="AF12" s="35">
        <v>99.8454</v>
      </c>
      <c r="AG12" s="35">
        <v>100</v>
      </c>
      <c r="AH12" s="35">
        <v>100</v>
      </c>
      <c r="AI12" s="35">
        <v>100</v>
      </c>
      <c r="AJ12" s="35">
        <v>99.6641</v>
      </c>
      <c r="AK12" s="35">
        <v>38.4261</v>
      </c>
      <c r="AL12" s="35">
        <v>100</v>
      </c>
      <c r="AM12" s="35">
        <v>100</v>
      </c>
      <c r="AN12" s="35">
        <v>100</v>
      </c>
      <c r="AO12" s="35">
        <v>100</v>
      </c>
      <c r="AP12" s="35">
        <v>100</v>
      </c>
      <c r="AQ12" s="35">
        <v>100</v>
      </c>
      <c r="AR12" s="35">
        <v>100</v>
      </c>
      <c r="AS12" s="35">
        <v>100</v>
      </c>
      <c r="AT12" s="35">
        <v>100</v>
      </c>
      <c r="AU12" s="35">
        <v>100</v>
      </c>
      <c r="AV12" s="35">
        <v>100</v>
      </c>
      <c r="AW12" s="35">
        <v>100</v>
      </c>
      <c r="AX12" s="35">
        <v>47.6249</v>
      </c>
      <c r="AY12" s="35">
        <v>100</v>
      </c>
      <c r="AZ12" s="35">
        <v>100</v>
      </c>
      <c r="BA12" s="35">
        <v>100</v>
      </c>
      <c r="BB12" s="35">
        <v>100</v>
      </c>
      <c r="BC12" s="35">
        <v>99.0525</v>
      </c>
      <c r="BD12" s="35">
        <v>100</v>
      </c>
      <c r="BE12" s="35">
        <v>100</v>
      </c>
      <c r="BF12" s="35">
        <v>100</v>
      </c>
      <c r="BG12" s="35">
        <v>100</v>
      </c>
      <c r="BH12" s="35">
        <v>100</v>
      </c>
      <c r="BI12" s="35">
        <v>100</v>
      </c>
      <c r="BJ12" s="35">
        <v>100</v>
      </c>
      <c r="BK12" s="35">
        <v>100</v>
      </c>
      <c r="BL12" s="35">
        <v>100</v>
      </c>
      <c r="BM12" s="35">
        <v>100</v>
      </c>
      <c r="BN12" s="35">
        <v>99.9243</v>
      </c>
      <c r="BO12" s="35">
        <v>100</v>
      </c>
      <c r="BP12" s="35">
        <v>69.0615</v>
      </c>
      <c r="BQ12" s="35">
        <v>100</v>
      </c>
      <c r="BR12" s="35">
        <v>100</v>
      </c>
      <c r="BS12" s="35">
        <v>99.9194</v>
      </c>
      <c r="BT12" s="35">
        <v>100</v>
      </c>
      <c r="BU12" s="35">
        <v>100</v>
      </c>
      <c r="BV12" s="35">
        <v>100</v>
      </c>
      <c r="BW12" s="35">
        <v>100</v>
      </c>
      <c r="BX12" s="35">
        <v>100</v>
      </c>
      <c r="BY12" s="35">
        <v>100</v>
      </c>
      <c r="BZ12" s="35">
        <v>100</v>
      </c>
      <c r="CA12" s="35">
        <v>100</v>
      </c>
      <c r="CB12" s="35">
        <v>100</v>
      </c>
      <c r="CC12" s="35">
        <v>100</v>
      </c>
      <c r="CD12" s="35">
        <v>100</v>
      </c>
      <c r="CE12" s="35">
        <v>100</v>
      </c>
      <c r="CF12" s="35">
        <v>100</v>
      </c>
      <c r="CG12" s="35">
        <v>100</v>
      </c>
      <c r="CH12" s="35">
        <v>100</v>
      </c>
      <c r="CI12" s="35">
        <v>97.7363</v>
      </c>
      <c r="CJ12" s="35">
        <v>0</v>
      </c>
      <c r="CK12" s="35">
        <v>100</v>
      </c>
      <c r="CL12" s="35">
        <v>100</v>
      </c>
      <c r="CM12" s="35">
        <v>100</v>
      </c>
      <c r="CN12" s="35">
        <v>100</v>
      </c>
      <c r="CO12" s="35">
        <v>99.9806</v>
      </c>
      <c r="CP12" s="35">
        <v>99.4108</v>
      </c>
      <c r="CQ12" s="35">
        <v>100</v>
      </c>
      <c r="CR12" s="35">
        <v>98.2836</v>
      </c>
      <c r="CS12" s="35">
        <v>65.6429</v>
      </c>
      <c r="CT12" s="35">
        <v>100</v>
      </c>
      <c r="CU12" s="35">
        <v>100</v>
      </c>
      <c r="CV12" s="35">
        <v>100</v>
      </c>
      <c r="CW12" s="35">
        <v>100</v>
      </c>
      <c r="CX12" s="35">
        <v>100</v>
      </c>
      <c r="CY12" s="35">
        <v>89.0362</v>
      </c>
      <c r="CZ12" s="35">
        <v>46.9742</v>
      </c>
      <c r="DA12" s="35">
        <v>98.8033</v>
      </c>
      <c r="DB12" s="35">
        <v>100</v>
      </c>
      <c r="DC12" s="35">
        <v>100</v>
      </c>
      <c r="DD12" s="35">
        <v>100</v>
      </c>
      <c r="DE12" s="35">
        <v>100</v>
      </c>
      <c r="DF12" s="35">
        <v>100</v>
      </c>
      <c r="DG12" s="35">
        <v>100</v>
      </c>
      <c r="DH12" s="35">
        <v>99.453</v>
      </c>
      <c r="DI12" s="35">
        <v>94.0941</v>
      </c>
      <c r="DJ12" s="35">
        <v>99.8372</v>
      </c>
      <c r="DK12" s="35">
        <v>0</v>
      </c>
      <c r="DL12" s="35">
        <v>56.0472</v>
      </c>
      <c r="DM12" s="35">
        <v>100</v>
      </c>
      <c r="DN12" s="35">
        <v>86.1159</v>
      </c>
      <c r="DO12" s="35">
        <v>100</v>
      </c>
      <c r="DP12" s="35">
        <v>56.0422</v>
      </c>
      <c r="DQ12" s="35">
        <v>100</v>
      </c>
      <c r="DR12" s="35">
        <v>100</v>
      </c>
      <c r="DS12" s="35">
        <v>100</v>
      </c>
      <c r="DT12" s="35">
        <v>100</v>
      </c>
      <c r="DU12" s="35">
        <v>99.7233</v>
      </c>
      <c r="DV12" s="35">
        <v>100</v>
      </c>
      <c r="DW12" s="35">
        <v>0</v>
      </c>
      <c r="DX12" s="35">
        <v>100</v>
      </c>
      <c r="DY12" s="35">
        <v>100</v>
      </c>
      <c r="DZ12" s="35">
        <v>100</v>
      </c>
      <c r="EA12" s="35">
        <v>83.9532</v>
      </c>
      <c r="EB12" s="35">
        <v>99.9621</v>
      </c>
      <c r="EC12" s="35">
        <v>99.2653</v>
      </c>
      <c r="ED12" s="35">
        <v>100</v>
      </c>
      <c r="EE12" s="35">
        <v>100</v>
      </c>
      <c r="EF12" s="35">
        <v>100</v>
      </c>
      <c r="EG12" s="35">
        <v>100</v>
      </c>
      <c r="EH12" s="35">
        <v>100</v>
      </c>
      <c r="EI12" s="35">
        <v>100</v>
      </c>
      <c r="EJ12" s="35">
        <v>100</v>
      </c>
      <c r="EK12" s="35">
        <v>100</v>
      </c>
      <c r="EL12" s="35">
        <v>100</v>
      </c>
      <c r="EM12" s="35">
        <v>100</v>
      </c>
      <c r="EN12" s="35">
        <v>100</v>
      </c>
      <c r="EO12" s="35">
        <v>100</v>
      </c>
      <c r="EP12" s="35">
        <v>100</v>
      </c>
      <c r="EQ12" s="35">
        <v>12.4835</v>
      </c>
      <c r="ER12" s="35">
        <v>12.089</v>
      </c>
      <c r="ES12" s="35">
        <v>91.233387172401</v>
      </c>
      <c r="ET12" s="35"/>
      <c r="EU12" s="42"/>
    </row>
    <row r="13" spans="1:154">
      <c r="A13" s="1"/>
      <c r="B13" s="1">
        <v>2</v>
      </c>
      <c r="C13" s="101">
        <v>44256</v>
      </c>
      <c r="D13" s="101">
        <v>44286.999988426</v>
      </c>
      <c r="F13" s="26">
        <v>3</v>
      </c>
      <c r="G13" s="34">
        <v>100</v>
      </c>
      <c r="H13" s="35">
        <v>100</v>
      </c>
      <c r="I13" s="35">
        <v>62.7243</v>
      </c>
      <c r="J13" s="35">
        <v>100</v>
      </c>
      <c r="K13" s="35">
        <v>100</v>
      </c>
      <c r="L13" s="35">
        <v>100</v>
      </c>
      <c r="M13" s="35">
        <v>99.5652</v>
      </c>
      <c r="N13" s="35">
        <v>0</v>
      </c>
      <c r="O13" s="35">
        <v>100</v>
      </c>
      <c r="P13" s="35">
        <v>99.9794</v>
      </c>
      <c r="Q13" s="35">
        <v>100</v>
      </c>
      <c r="R13" s="35">
        <v>100</v>
      </c>
      <c r="S13" s="39">
        <v>100</v>
      </c>
      <c r="T13" s="39">
        <v>100</v>
      </c>
      <c r="U13" s="35">
        <v>100</v>
      </c>
      <c r="V13" s="35">
        <v>100</v>
      </c>
      <c r="W13" s="35">
        <v>100</v>
      </c>
      <c r="X13" s="35">
        <v>100</v>
      </c>
      <c r="Y13" s="35">
        <v>100</v>
      </c>
      <c r="Z13" s="35">
        <v>99.9967</v>
      </c>
      <c r="AA13" s="35">
        <v>93.9915</v>
      </c>
      <c r="AB13" s="35">
        <v>100</v>
      </c>
      <c r="AC13" s="35">
        <v>100</v>
      </c>
      <c r="AD13" s="35">
        <v>100</v>
      </c>
      <c r="AE13" s="35">
        <v>92.0535</v>
      </c>
      <c r="AF13" s="35">
        <v>100</v>
      </c>
      <c r="AG13" s="35">
        <v>100</v>
      </c>
      <c r="AH13" s="35">
        <v>100</v>
      </c>
      <c r="AI13" s="35">
        <v>100</v>
      </c>
      <c r="AJ13" s="35">
        <v>99.9021</v>
      </c>
      <c r="AK13" s="35">
        <v>100</v>
      </c>
      <c r="AL13" s="35">
        <v>100</v>
      </c>
      <c r="AM13" s="35">
        <v>99.9802</v>
      </c>
      <c r="AN13" s="35">
        <v>100</v>
      </c>
      <c r="AO13" s="35">
        <v>100</v>
      </c>
      <c r="AP13" s="35">
        <v>100</v>
      </c>
      <c r="AQ13" s="35">
        <v>99.9873</v>
      </c>
      <c r="AR13" s="35">
        <v>100</v>
      </c>
      <c r="AS13" s="35">
        <v>100</v>
      </c>
      <c r="AT13" s="35">
        <v>100</v>
      </c>
      <c r="AU13" s="35">
        <v>100</v>
      </c>
      <c r="AV13" s="35">
        <v>100</v>
      </c>
      <c r="AW13" s="35">
        <v>100</v>
      </c>
      <c r="AX13" s="35">
        <v>100</v>
      </c>
      <c r="AY13" s="35">
        <v>100</v>
      </c>
      <c r="AZ13" s="35">
        <v>100</v>
      </c>
      <c r="BA13" s="35">
        <v>99.0474</v>
      </c>
      <c r="BB13" s="35">
        <v>99.2319</v>
      </c>
      <c r="BC13" s="35">
        <v>99.1065</v>
      </c>
      <c r="BD13" s="35">
        <v>100</v>
      </c>
      <c r="BE13" s="35">
        <v>99.9842</v>
      </c>
      <c r="BF13" s="35">
        <v>100</v>
      </c>
      <c r="BG13" s="35">
        <v>100</v>
      </c>
      <c r="BH13" s="35">
        <v>100</v>
      </c>
      <c r="BI13" s="35">
        <v>99.9921</v>
      </c>
      <c r="BJ13" s="35">
        <v>100</v>
      </c>
      <c r="BK13" s="35">
        <v>100</v>
      </c>
      <c r="BL13" s="35">
        <v>100</v>
      </c>
      <c r="BM13" s="35">
        <v>100</v>
      </c>
      <c r="BN13" s="35">
        <v>100</v>
      </c>
      <c r="BO13" s="35">
        <v>100</v>
      </c>
      <c r="BP13" s="35">
        <v>100</v>
      </c>
      <c r="BQ13" s="35">
        <v>100</v>
      </c>
      <c r="BR13" s="35">
        <v>100</v>
      </c>
      <c r="BS13" s="35">
        <v>100</v>
      </c>
      <c r="BT13" s="35">
        <v>100</v>
      </c>
      <c r="BU13" s="35">
        <v>100</v>
      </c>
      <c r="BV13" s="35">
        <v>100</v>
      </c>
      <c r="BW13" s="35">
        <v>100</v>
      </c>
      <c r="BX13" s="35">
        <v>100</v>
      </c>
      <c r="BY13" s="35">
        <v>100</v>
      </c>
      <c r="BZ13" s="35">
        <v>100</v>
      </c>
      <c r="CA13" s="35">
        <v>100</v>
      </c>
      <c r="CB13" s="35">
        <v>100</v>
      </c>
      <c r="CC13" s="35">
        <v>90.1905</v>
      </c>
      <c r="CD13" s="35">
        <v>100</v>
      </c>
      <c r="CE13" s="35">
        <v>100</v>
      </c>
      <c r="CF13" s="35">
        <v>100</v>
      </c>
      <c r="CG13" s="35">
        <v>100</v>
      </c>
      <c r="CH13" s="35">
        <v>100</v>
      </c>
      <c r="CI13" s="35">
        <v>99.9952</v>
      </c>
      <c r="CJ13" s="35">
        <v>0</v>
      </c>
      <c r="CK13" s="35">
        <v>100</v>
      </c>
      <c r="CL13" s="35">
        <v>100</v>
      </c>
      <c r="CM13" s="35">
        <v>100</v>
      </c>
      <c r="CN13" s="35">
        <v>100</v>
      </c>
      <c r="CO13" s="35">
        <v>100</v>
      </c>
      <c r="CP13" s="35">
        <v>100</v>
      </c>
      <c r="CQ13" s="35">
        <v>100</v>
      </c>
      <c r="CR13" s="35">
        <v>78.445</v>
      </c>
      <c r="CS13" s="35">
        <v>100</v>
      </c>
      <c r="CT13" s="35">
        <v>100</v>
      </c>
      <c r="CU13" s="35">
        <v>100</v>
      </c>
      <c r="CV13" s="35">
        <v>100</v>
      </c>
      <c r="CW13" s="35">
        <v>80.2087</v>
      </c>
      <c r="CX13" s="35">
        <v>100</v>
      </c>
      <c r="CY13" s="35">
        <v>100</v>
      </c>
      <c r="CZ13" s="35">
        <v>7.6201</v>
      </c>
      <c r="DA13" s="35">
        <v>100</v>
      </c>
      <c r="DB13" s="35">
        <v>100</v>
      </c>
      <c r="DC13" s="35">
        <v>100</v>
      </c>
      <c r="DD13" s="35">
        <v>100</v>
      </c>
      <c r="DE13" s="35">
        <v>100</v>
      </c>
      <c r="DF13" s="35">
        <v>100</v>
      </c>
      <c r="DG13" s="35">
        <v>100</v>
      </c>
      <c r="DH13" s="35">
        <v>100</v>
      </c>
      <c r="DI13" s="35">
        <v>16.7602</v>
      </c>
      <c r="DJ13" s="35">
        <v>100</v>
      </c>
      <c r="DK13" s="35">
        <v>0</v>
      </c>
      <c r="DL13" s="35">
        <v>43.2874</v>
      </c>
      <c r="DM13" s="35">
        <v>100</v>
      </c>
      <c r="DN13" s="35">
        <v>100</v>
      </c>
      <c r="DO13" s="35">
        <v>100</v>
      </c>
      <c r="DP13" s="35">
        <v>68.8955</v>
      </c>
      <c r="DQ13" s="35">
        <v>99.1825</v>
      </c>
      <c r="DR13" s="35">
        <v>100</v>
      </c>
      <c r="DS13" s="35">
        <v>100</v>
      </c>
      <c r="DT13" s="35">
        <v>100</v>
      </c>
      <c r="DU13" s="35">
        <v>99.432</v>
      </c>
      <c r="DV13" s="35">
        <v>100</v>
      </c>
      <c r="DW13" s="35">
        <v>1.8955</v>
      </c>
      <c r="DX13" s="35">
        <v>100</v>
      </c>
      <c r="DY13" s="35">
        <v>100</v>
      </c>
      <c r="DZ13" s="35">
        <v>99.8532</v>
      </c>
      <c r="EA13" s="35">
        <v>88.5796</v>
      </c>
      <c r="EB13" s="35">
        <v>100</v>
      </c>
      <c r="EC13" s="35">
        <v>99.9397</v>
      </c>
      <c r="ED13" s="35">
        <v>99.107</v>
      </c>
      <c r="EE13" s="35">
        <v>100</v>
      </c>
      <c r="EF13" s="35">
        <v>100</v>
      </c>
      <c r="EG13" s="35">
        <v>99.8388</v>
      </c>
      <c r="EH13" s="35">
        <v>100</v>
      </c>
      <c r="EI13" s="35">
        <v>100</v>
      </c>
      <c r="EJ13" s="35">
        <v>100</v>
      </c>
      <c r="EK13" s="35">
        <v>100</v>
      </c>
      <c r="EL13" s="35">
        <v>98.9219</v>
      </c>
      <c r="EM13" s="35">
        <v>100</v>
      </c>
      <c r="EN13" s="35">
        <v>100</v>
      </c>
      <c r="EO13" s="35">
        <v>100</v>
      </c>
      <c r="EP13" s="35">
        <v>100</v>
      </c>
      <c r="EQ13" s="35">
        <v>0</v>
      </c>
      <c r="ER13" s="35">
        <v>52.8639</v>
      </c>
      <c r="ES13" s="35">
        <v>93.454642277919</v>
      </c>
      <c r="ET13" s="35"/>
      <c r="EU13" s="42"/>
    </row>
    <row r="14" spans="1:154">
      <c r="A14" s="1"/>
      <c r="B14" s="1">
        <v>3</v>
      </c>
      <c r="C14" s="101">
        <v>44287</v>
      </c>
      <c r="D14" s="101">
        <v>44316.999988426</v>
      </c>
      <c r="F14" s="26">
        <v>4</v>
      </c>
      <c r="G14" s="34">
        <v>100</v>
      </c>
      <c r="H14" s="35">
        <v>100</v>
      </c>
      <c r="I14" s="35">
        <v>100</v>
      </c>
      <c r="J14" s="35">
        <v>100</v>
      </c>
      <c r="K14" s="35">
        <v>100</v>
      </c>
      <c r="L14" s="35">
        <v>100</v>
      </c>
      <c r="M14" s="35">
        <v>100</v>
      </c>
      <c r="N14" s="35">
        <v>72.0541</v>
      </c>
      <c r="O14" s="35">
        <v>100</v>
      </c>
      <c r="P14" s="35">
        <v>100</v>
      </c>
      <c r="Q14" s="35">
        <v>100</v>
      </c>
      <c r="R14" s="35">
        <v>100</v>
      </c>
      <c r="S14" s="39">
        <v>100</v>
      </c>
      <c r="T14" s="39">
        <v>100</v>
      </c>
      <c r="U14" s="35">
        <v>100</v>
      </c>
      <c r="V14" s="35">
        <v>100</v>
      </c>
      <c r="W14" s="35">
        <v>100</v>
      </c>
      <c r="X14" s="35">
        <v>100</v>
      </c>
      <c r="Y14" s="35">
        <v>100</v>
      </c>
      <c r="Z14" s="35">
        <v>100</v>
      </c>
      <c r="AA14" s="35">
        <v>100</v>
      </c>
      <c r="AB14" s="35">
        <v>100</v>
      </c>
      <c r="AC14" s="35">
        <v>100</v>
      </c>
      <c r="AD14" s="35">
        <v>100</v>
      </c>
      <c r="AE14" s="35">
        <v>100</v>
      </c>
      <c r="AF14" s="35">
        <v>6.3858</v>
      </c>
      <c r="AG14" s="35">
        <v>100</v>
      </c>
      <c r="AH14" s="35">
        <v>100</v>
      </c>
      <c r="AI14" s="35">
        <v>100</v>
      </c>
      <c r="AJ14" s="35">
        <v>100</v>
      </c>
      <c r="AK14" s="35">
        <v>100</v>
      </c>
      <c r="AL14" s="35">
        <v>100</v>
      </c>
      <c r="AM14" s="35">
        <v>100</v>
      </c>
      <c r="AN14" s="35">
        <v>100</v>
      </c>
      <c r="AO14" s="35">
        <v>100</v>
      </c>
      <c r="AP14" s="35">
        <v>100</v>
      </c>
      <c r="AQ14" s="35">
        <v>100</v>
      </c>
      <c r="AR14" s="35">
        <v>100</v>
      </c>
      <c r="AS14" s="35">
        <v>100</v>
      </c>
      <c r="AT14" s="35">
        <v>100</v>
      </c>
      <c r="AU14" s="35">
        <v>100</v>
      </c>
      <c r="AV14" s="35">
        <v>100</v>
      </c>
      <c r="AW14" s="35">
        <v>100</v>
      </c>
      <c r="AX14" s="35">
        <v>100</v>
      </c>
      <c r="AY14" s="35">
        <v>100</v>
      </c>
      <c r="AZ14" s="35">
        <v>100</v>
      </c>
      <c r="BA14" s="35">
        <v>100</v>
      </c>
      <c r="BB14" s="35">
        <v>100</v>
      </c>
      <c r="BC14" s="35">
        <v>100</v>
      </c>
      <c r="BD14" s="35">
        <v>100</v>
      </c>
      <c r="BE14" s="35">
        <v>100</v>
      </c>
      <c r="BF14" s="35">
        <v>100</v>
      </c>
      <c r="BG14" s="35">
        <v>100</v>
      </c>
      <c r="BH14" s="35">
        <v>100</v>
      </c>
      <c r="BI14" s="35">
        <v>100</v>
      </c>
      <c r="BJ14" s="35">
        <v>100</v>
      </c>
      <c r="BK14" s="35">
        <v>100</v>
      </c>
      <c r="BL14" s="35">
        <v>100</v>
      </c>
      <c r="BM14" s="35">
        <v>100</v>
      </c>
      <c r="BN14" s="35">
        <v>100</v>
      </c>
      <c r="BO14" s="35">
        <v>100</v>
      </c>
      <c r="BP14" s="35">
        <v>100</v>
      </c>
      <c r="BQ14" s="35">
        <v>100</v>
      </c>
      <c r="BR14" s="35">
        <v>100</v>
      </c>
      <c r="BS14" s="35">
        <v>100</v>
      </c>
      <c r="BT14" s="35">
        <v>100</v>
      </c>
      <c r="BU14" s="35">
        <v>100</v>
      </c>
      <c r="BV14" s="35">
        <v>100</v>
      </c>
      <c r="BW14" s="35">
        <v>100</v>
      </c>
      <c r="BX14" s="35">
        <v>100</v>
      </c>
      <c r="BY14" s="35">
        <v>100</v>
      </c>
      <c r="BZ14" s="35">
        <v>100</v>
      </c>
      <c r="CA14" s="35">
        <v>100</v>
      </c>
      <c r="CB14" s="35">
        <v>100</v>
      </c>
      <c r="CC14" s="35">
        <v>100</v>
      </c>
      <c r="CD14" s="35">
        <v>100</v>
      </c>
      <c r="CE14" s="35">
        <v>100</v>
      </c>
      <c r="CF14" s="35">
        <v>100</v>
      </c>
      <c r="CG14" s="35">
        <v>100</v>
      </c>
      <c r="CH14" s="35">
        <v>99.5705</v>
      </c>
      <c r="CI14" s="35">
        <v>99.5824</v>
      </c>
      <c r="CJ14" s="35">
        <v>98.0468</v>
      </c>
      <c r="CK14" s="35">
        <v>100</v>
      </c>
      <c r="CL14" s="35">
        <v>100</v>
      </c>
      <c r="CM14" s="35">
        <v>100</v>
      </c>
      <c r="CN14" s="35">
        <v>100</v>
      </c>
      <c r="CO14" s="35">
        <v>100</v>
      </c>
      <c r="CP14" s="35">
        <v>100</v>
      </c>
      <c r="CQ14" s="35">
        <v>98.761</v>
      </c>
      <c r="CR14" s="35">
        <v>100</v>
      </c>
      <c r="CS14" s="35">
        <v>100</v>
      </c>
      <c r="CT14" s="35">
        <v>93.2577</v>
      </c>
      <c r="CU14" s="35">
        <v>100</v>
      </c>
      <c r="CV14" s="35">
        <v>100</v>
      </c>
      <c r="CW14" s="35">
        <v>100</v>
      </c>
      <c r="CX14" s="35">
        <v>100</v>
      </c>
      <c r="CY14" s="35">
        <v>100</v>
      </c>
      <c r="CZ14" s="35">
        <v>100</v>
      </c>
      <c r="DA14" s="35">
        <v>100</v>
      </c>
      <c r="DB14" s="35">
        <v>100</v>
      </c>
      <c r="DC14" s="35">
        <v>100</v>
      </c>
      <c r="DD14" s="35">
        <v>100</v>
      </c>
      <c r="DE14" s="35">
        <v>100</v>
      </c>
      <c r="DF14" s="35">
        <v>100</v>
      </c>
      <c r="DG14" s="35">
        <v>100</v>
      </c>
      <c r="DH14" s="35">
        <v>100</v>
      </c>
      <c r="DI14" s="35">
        <v>0</v>
      </c>
      <c r="DJ14" s="35">
        <v>100</v>
      </c>
      <c r="DK14" s="35">
        <v>0</v>
      </c>
      <c r="DL14" s="35">
        <v>100</v>
      </c>
      <c r="DM14" s="35">
        <v>100</v>
      </c>
      <c r="DN14" s="35">
        <v>99.8578</v>
      </c>
      <c r="DO14" s="35">
        <v>100</v>
      </c>
      <c r="DP14" s="35">
        <v>100</v>
      </c>
      <c r="DQ14" s="35">
        <v>42.1974</v>
      </c>
      <c r="DR14" s="35">
        <v>100</v>
      </c>
      <c r="DS14" s="35">
        <v>100</v>
      </c>
      <c r="DT14" s="35">
        <v>100</v>
      </c>
      <c r="DU14" s="35">
        <v>100</v>
      </c>
      <c r="DV14" s="35">
        <v>100</v>
      </c>
      <c r="DW14" s="35">
        <v>100</v>
      </c>
      <c r="DX14" s="35">
        <v>100</v>
      </c>
      <c r="DY14" s="35">
        <v>100</v>
      </c>
      <c r="DZ14" s="35">
        <v>100</v>
      </c>
      <c r="EA14" s="35">
        <v>100</v>
      </c>
      <c r="EB14" s="35">
        <v>99.9966</v>
      </c>
      <c r="EC14" s="35">
        <v>99.2824</v>
      </c>
      <c r="ED14" s="35">
        <v>100</v>
      </c>
      <c r="EE14" s="35">
        <v>99.2907</v>
      </c>
      <c r="EF14" s="35">
        <v>100</v>
      </c>
      <c r="EG14" s="35">
        <v>100</v>
      </c>
      <c r="EH14" s="35">
        <v>99.9385</v>
      </c>
      <c r="EI14" s="35">
        <v>100</v>
      </c>
      <c r="EJ14" s="35">
        <v>74.4351</v>
      </c>
      <c r="EK14" s="35">
        <v>100</v>
      </c>
      <c r="EL14" s="35">
        <v>100</v>
      </c>
      <c r="EM14" s="35">
        <v>100</v>
      </c>
      <c r="EN14" s="35">
        <v>100</v>
      </c>
      <c r="EO14" s="35">
        <v>90.5629</v>
      </c>
      <c r="EP14" s="35">
        <v>100</v>
      </c>
      <c r="EQ14" s="35">
        <v>72.2355</v>
      </c>
      <c r="ER14" s="35">
        <v>100</v>
      </c>
      <c r="ES14" s="35">
        <v>96.798981007258</v>
      </c>
      <c r="ET14" s="35"/>
      <c r="EU14" s="42"/>
    </row>
    <row r="15" spans="1:154">
      <c r="A15" s="1"/>
      <c r="B15" s="1">
        <v>4</v>
      </c>
      <c r="C15" s="101">
        <v>44317</v>
      </c>
      <c r="D15" s="101">
        <v>44347.999988426</v>
      </c>
      <c r="F15" s="26">
        <v>5</v>
      </c>
      <c r="G15" s="34">
        <v>99.8531</v>
      </c>
      <c r="H15" s="35">
        <v>100</v>
      </c>
      <c r="I15" s="35">
        <v>100</v>
      </c>
      <c r="J15" s="35">
        <v>100</v>
      </c>
      <c r="K15" s="35">
        <v>100</v>
      </c>
      <c r="L15" s="35">
        <v>100</v>
      </c>
      <c r="M15" s="35">
        <v>100</v>
      </c>
      <c r="N15" s="35">
        <v>100</v>
      </c>
      <c r="O15" s="35">
        <v>100</v>
      </c>
      <c r="P15" s="35">
        <v>100</v>
      </c>
      <c r="Q15" s="35">
        <v>100</v>
      </c>
      <c r="R15" s="35">
        <v>100</v>
      </c>
      <c r="S15" s="39">
        <v>100</v>
      </c>
      <c r="T15" s="39">
        <v>100</v>
      </c>
      <c r="U15" s="35">
        <v>100</v>
      </c>
      <c r="V15" s="35">
        <v>100</v>
      </c>
      <c r="W15" s="35">
        <v>100</v>
      </c>
      <c r="X15" s="35">
        <v>100</v>
      </c>
      <c r="Y15" s="35">
        <v>100</v>
      </c>
      <c r="Z15" s="35">
        <v>100</v>
      </c>
      <c r="AA15" s="35">
        <v>100</v>
      </c>
      <c r="AB15" s="35">
        <v>100</v>
      </c>
      <c r="AC15" s="35">
        <v>100</v>
      </c>
      <c r="AD15" s="35">
        <v>100</v>
      </c>
      <c r="AE15" s="35">
        <v>100</v>
      </c>
      <c r="AF15" s="35">
        <v>99.3493</v>
      </c>
      <c r="AG15" s="35">
        <v>100</v>
      </c>
      <c r="AH15" s="35">
        <v>100</v>
      </c>
      <c r="AI15" s="35">
        <v>100</v>
      </c>
      <c r="AJ15" s="35">
        <v>100</v>
      </c>
      <c r="AK15" s="35">
        <v>100</v>
      </c>
      <c r="AL15" s="35">
        <v>100</v>
      </c>
      <c r="AM15" s="35">
        <v>98.5164</v>
      </c>
      <c r="AN15" s="35">
        <v>100</v>
      </c>
      <c r="AO15" s="35">
        <v>100</v>
      </c>
      <c r="AP15" s="35">
        <v>100</v>
      </c>
      <c r="AQ15" s="35">
        <v>100</v>
      </c>
      <c r="AR15" s="35">
        <v>100</v>
      </c>
      <c r="AS15" s="35">
        <v>100</v>
      </c>
      <c r="AT15" s="35">
        <v>100</v>
      </c>
      <c r="AU15" s="35">
        <v>100</v>
      </c>
      <c r="AV15" s="35">
        <v>100</v>
      </c>
      <c r="AW15" s="35">
        <v>100</v>
      </c>
      <c r="AX15" s="35">
        <v>100</v>
      </c>
      <c r="AY15" s="35">
        <v>100</v>
      </c>
      <c r="AZ15" s="35">
        <v>100</v>
      </c>
      <c r="BA15" s="35">
        <v>100</v>
      </c>
      <c r="BB15" s="35">
        <v>100</v>
      </c>
      <c r="BC15" s="35">
        <v>100</v>
      </c>
      <c r="BD15" s="35">
        <v>100</v>
      </c>
      <c r="BE15" s="35">
        <v>100</v>
      </c>
      <c r="BF15" s="35">
        <v>100</v>
      </c>
      <c r="BG15" s="35">
        <v>100</v>
      </c>
      <c r="BH15" s="35">
        <v>100</v>
      </c>
      <c r="BI15" s="35">
        <v>100</v>
      </c>
      <c r="BJ15" s="35">
        <v>100</v>
      </c>
      <c r="BK15" s="35">
        <v>100</v>
      </c>
      <c r="BL15" s="35">
        <v>100</v>
      </c>
      <c r="BM15" s="35">
        <v>100</v>
      </c>
      <c r="BN15" s="35">
        <v>100</v>
      </c>
      <c r="BO15" s="35">
        <v>100</v>
      </c>
      <c r="BP15" s="35">
        <v>100</v>
      </c>
      <c r="BQ15" s="35">
        <v>100</v>
      </c>
      <c r="BR15" s="35">
        <v>100</v>
      </c>
      <c r="BS15" s="35">
        <v>100</v>
      </c>
      <c r="BT15" s="35">
        <v>100</v>
      </c>
      <c r="BU15" s="35">
        <v>100</v>
      </c>
      <c r="BV15" s="35">
        <v>100</v>
      </c>
      <c r="BW15" s="35">
        <v>100</v>
      </c>
      <c r="BX15" s="35">
        <v>100</v>
      </c>
      <c r="BY15" s="35">
        <v>100</v>
      </c>
      <c r="BZ15" s="35">
        <v>100</v>
      </c>
      <c r="CA15" s="35">
        <v>100</v>
      </c>
      <c r="CB15" s="35">
        <v>100</v>
      </c>
      <c r="CC15" s="35">
        <v>99.9746</v>
      </c>
      <c r="CD15" s="35">
        <v>100</v>
      </c>
      <c r="CE15" s="35">
        <v>100</v>
      </c>
      <c r="CF15" s="35">
        <v>100</v>
      </c>
      <c r="CG15" s="35">
        <v>100</v>
      </c>
      <c r="CH15" s="35">
        <v>100</v>
      </c>
      <c r="CI15" s="35">
        <v>100</v>
      </c>
      <c r="CJ15" s="35">
        <v>100</v>
      </c>
      <c r="CK15" s="35">
        <v>100</v>
      </c>
      <c r="CL15" s="35">
        <v>100</v>
      </c>
      <c r="CM15" s="35">
        <v>100</v>
      </c>
      <c r="CN15" s="35">
        <v>98.8281</v>
      </c>
      <c r="CO15" s="35">
        <v>100</v>
      </c>
      <c r="CP15" s="35">
        <v>100</v>
      </c>
      <c r="CQ15" s="35">
        <v>100</v>
      </c>
      <c r="CR15" s="35">
        <v>100</v>
      </c>
      <c r="CS15" s="35">
        <v>100</v>
      </c>
      <c r="CT15" s="35">
        <v>100</v>
      </c>
      <c r="CU15" s="35">
        <v>100</v>
      </c>
      <c r="CV15" s="35">
        <v>100</v>
      </c>
      <c r="CW15" s="35">
        <v>100</v>
      </c>
      <c r="CX15" s="35">
        <v>100</v>
      </c>
      <c r="CY15" s="35">
        <v>98.5243</v>
      </c>
      <c r="CZ15" s="35">
        <v>100</v>
      </c>
      <c r="DA15" s="35">
        <v>100</v>
      </c>
      <c r="DB15" s="35">
        <v>100</v>
      </c>
      <c r="DC15" s="35">
        <v>100</v>
      </c>
      <c r="DD15" s="35">
        <v>100</v>
      </c>
      <c r="DE15" s="35">
        <v>100</v>
      </c>
      <c r="DF15" s="35">
        <v>100</v>
      </c>
      <c r="DG15" s="35">
        <v>100</v>
      </c>
      <c r="DH15" s="35">
        <v>100</v>
      </c>
      <c r="DI15" s="35">
        <v>0</v>
      </c>
      <c r="DJ15" s="35">
        <v>100</v>
      </c>
      <c r="DK15" s="35">
        <v>0</v>
      </c>
      <c r="DL15" s="35">
        <v>62.6801</v>
      </c>
      <c r="DM15" s="35">
        <v>100</v>
      </c>
      <c r="DN15" s="35">
        <v>100</v>
      </c>
      <c r="DO15" s="35">
        <v>98.8576</v>
      </c>
      <c r="DP15" s="35">
        <v>77.6396</v>
      </c>
      <c r="DQ15" s="35">
        <v>34.98</v>
      </c>
      <c r="DR15" s="35">
        <v>99.823</v>
      </c>
      <c r="DS15" s="35">
        <v>100</v>
      </c>
      <c r="DT15" s="35">
        <v>100</v>
      </c>
      <c r="DU15" s="35">
        <v>100</v>
      </c>
      <c r="DV15" s="35">
        <v>59.004</v>
      </c>
      <c r="DW15" s="35">
        <v>100</v>
      </c>
      <c r="DX15" s="35">
        <v>100</v>
      </c>
      <c r="DY15" s="35">
        <v>100</v>
      </c>
      <c r="DZ15" s="35">
        <v>100</v>
      </c>
      <c r="EA15" s="35">
        <v>100</v>
      </c>
      <c r="EB15" s="35">
        <v>100</v>
      </c>
      <c r="EC15" s="35">
        <v>99.9865</v>
      </c>
      <c r="ED15" s="35">
        <v>100</v>
      </c>
      <c r="EE15" s="35">
        <v>100</v>
      </c>
      <c r="EF15" s="35">
        <v>100</v>
      </c>
      <c r="EG15" s="35">
        <v>100</v>
      </c>
      <c r="EH15" s="35">
        <v>100</v>
      </c>
      <c r="EI15" s="35">
        <v>100</v>
      </c>
      <c r="EJ15" s="35">
        <v>0</v>
      </c>
      <c r="EK15" s="35">
        <v>100</v>
      </c>
      <c r="EL15" s="35">
        <v>100</v>
      </c>
      <c r="EM15" s="35">
        <v>100</v>
      </c>
      <c r="EN15" s="35">
        <v>100</v>
      </c>
      <c r="EO15" s="35">
        <v>100</v>
      </c>
      <c r="EP15" s="35">
        <v>100</v>
      </c>
      <c r="EQ15" s="35">
        <v>100</v>
      </c>
      <c r="ER15" s="35">
        <v>100</v>
      </c>
      <c r="ES15" s="35">
        <v>96.67617394034</v>
      </c>
      <c r="ET15" s="35"/>
      <c r="EU15" s="42"/>
    </row>
    <row r="16" spans="1:154">
      <c r="A16" s="1"/>
      <c r="B16" s="1">
        <v>5</v>
      </c>
      <c r="C16" s="101">
        <v>44348</v>
      </c>
      <c r="D16" s="101">
        <v>44377.999988426</v>
      </c>
      <c r="F16" s="26">
        <v>6</v>
      </c>
      <c r="G16" s="34">
        <v>100</v>
      </c>
      <c r="H16" s="35">
        <v>100</v>
      </c>
      <c r="I16" s="35">
        <v>100</v>
      </c>
      <c r="J16" s="35">
        <v>100</v>
      </c>
      <c r="K16" s="35">
        <v>100</v>
      </c>
      <c r="L16" s="35">
        <v>99.758</v>
      </c>
      <c r="M16" s="35">
        <v>100</v>
      </c>
      <c r="N16" s="35">
        <v>100</v>
      </c>
      <c r="O16" s="35">
        <v>99.9943</v>
      </c>
      <c r="P16" s="35">
        <v>100</v>
      </c>
      <c r="Q16" s="35">
        <v>100</v>
      </c>
      <c r="R16" s="35">
        <v>100</v>
      </c>
      <c r="S16" s="39">
        <v>100</v>
      </c>
      <c r="T16" s="39">
        <v>100</v>
      </c>
      <c r="U16" s="35">
        <v>99.8812</v>
      </c>
      <c r="V16" s="35">
        <v>100</v>
      </c>
      <c r="W16" s="35">
        <v>100</v>
      </c>
      <c r="X16" s="35">
        <v>100</v>
      </c>
      <c r="Y16" s="35">
        <v>100</v>
      </c>
      <c r="Z16" s="35">
        <v>99.8868</v>
      </c>
      <c r="AA16" s="35">
        <v>100</v>
      </c>
      <c r="AB16" s="35">
        <v>99.8785</v>
      </c>
      <c r="AC16" s="35">
        <v>99.8748</v>
      </c>
      <c r="AD16" s="35">
        <v>100</v>
      </c>
      <c r="AE16" s="35">
        <v>99.7365</v>
      </c>
      <c r="AF16" s="35">
        <v>91.5895</v>
      </c>
      <c r="AG16" s="35">
        <v>99.9574</v>
      </c>
      <c r="AH16" s="35">
        <v>99.9441</v>
      </c>
      <c r="AI16" s="35">
        <v>99.257</v>
      </c>
      <c r="AJ16" s="35">
        <v>99.6947</v>
      </c>
      <c r="AK16" s="35">
        <v>99.9475</v>
      </c>
      <c r="AL16" s="35">
        <v>99.1904</v>
      </c>
      <c r="AM16" s="35">
        <v>90.568</v>
      </c>
      <c r="AN16" s="35">
        <v>99.9392</v>
      </c>
      <c r="AO16" s="35">
        <v>99.9507</v>
      </c>
      <c r="AP16" s="35">
        <v>99.9393</v>
      </c>
      <c r="AQ16" s="35">
        <v>99.8556</v>
      </c>
      <c r="AR16" s="35">
        <v>99.9196</v>
      </c>
      <c r="AS16" s="35">
        <v>98.5176</v>
      </c>
      <c r="AT16" s="35">
        <v>98.3515</v>
      </c>
      <c r="AU16" s="35">
        <v>99.9318</v>
      </c>
      <c r="AV16" s="35">
        <v>99.5218</v>
      </c>
      <c r="AW16" s="35">
        <v>99.4088</v>
      </c>
      <c r="AX16" s="35">
        <v>100</v>
      </c>
      <c r="AY16" s="35">
        <v>80.8535</v>
      </c>
      <c r="AZ16" s="35">
        <v>100</v>
      </c>
      <c r="BA16" s="35">
        <v>100</v>
      </c>
      <c r="BB16" s="35">
        <v>99.8201</v>
      </c>
      <c r="BC16" s="35">
        <v>99.7875</v>
      </c>
      <c r="BD16" s="35">
        <v>78.3534</v>
      </c>
      <c r="BE16" s="35">
        <v>99.5386</v>
      </c>
      <c r="BF16" s="35">
        <v>100</v>
      </c>
      <c r="BG16" s="35">
        <v>100</v>
      </c>
      <c r="BH16" s="35">
        <v>100</v>
      </c>
      <c r="BI16" s="35">
        <v>100</v>
      </c>
      <c r="BJ16" s="35">
        <v>100</v>
      </c>
      <c r="BK16" s="35">
        <v>100</v>
      </c>
      <c r="BL16" s="35">
        <v>100</v>
      </c>
      <c r="BM16" s="35">
        <v>100</v>
      </c>
      <c r="BN16" s="35">
        <v>100</v>
      </c>
      <c r="BO16" s="35">
        <v>100</v>
      </c>
      <c r="BP16" s="35">
        <v>100</v>
      </c>
      <c r="BQ16" s="35">
        <v>100</v>
      </c>
      <c r="BR16" s="35">
        <v>100</v>
      </c>
      <c r="BS16" s="35">
        <v>100</v>
      </c>
      <c r="BT16" s="35">
        <v>100</v>
      </c>
      <c r="BU16" s="35">
        <v>100</v>
      </c>
      <c r="BV16" s="35">
        <v>99.652</v>
      </c>
      <c r="BW16" s="35">
        <v>100</v>
      </c>
      <c r="BX16" s="35">
        <v>100</v>
      </c>
      <c r="BY16" s="35">
        <v>100</v>
      </c>
      <c r="BZ16" s="35">
        <v>100</v>
      </c>
      <c r="CA16" s="35">
        <v>100</v>
      </c>
      <c r="CB16" s="35">
        <v>100</v>
      </c>
      <c r="CC16" s="35">
        <v>100</v>
      </c>
      <c r="CD16" s="35">
        <v>100</v>
      </c>
      <c r="CE16" s="35">
        <v>100</v>
      </c>
      <c r="CF16" s="35">
        <v>100</v>
      </c>
      <c r="CG16" s="35">
        <v>100</v>
      </c>
      <c r="CH16" s="35">
        <v>97.0209</v>
      </c>
      <c r="CI16" s="35">
        <v>99.7994</v>
      </c>
      <c r="CJ16" s="35">
        <v>99.7221</v>
      </c>
      <c r="CK16" s="35">
        <v>100</v>
      </c>
      <c r="CL16" s="35">
        <v>100</v>
      </c>
      <c r="CM16" s="35">
        <v>100</v>
      </c>
      <c r="CN16" s="35">
        <v>99.6571</v>
      </c>
      <c r="CO16" s="35">
        <v>100</v>
      </c>
      <c r="CP16" s="35">
        <v>99.959</v>
      </c>
      <c r="CQ16" s="35">
        <v>99.8998</v>
      </c>
      <c r="CR16" s="35">
        <v>99.7128</v>
      </c>
      <c r="CS16" s="35">
        <v>100</v>
      </c>
      <c r="CT16" s="35">
        <v>99.4684</v>
      </c>
      <c r="CU16" s="35">
        <v>100</v>
      </c>
      <c r="CV16" s="35">
        <v>100</v>
      </c>
      <c r="CW16" s="35">
        <v>99.6956</v>
      </c>
      <c r="CX16" s="35">
        <v>99.86</v>
      </c>
      <c r="CY16" s="35">
        <v>99.7822</v>
      </c>
      <c r="CZ16" s="35">
        <v>100</v>
      </c>
      <c r="DA16" s="35">
        <v>99.859</v>
      </c>
      <c r="DB16" s="35">
        <v>99.8763</v>
      </c>
      <c r="DC16" s="35">
        <v>99.9591</v>
      </c>
      <c r="DD16" s="35">
        <v>99.9582</v>
      </c>
      <c r="DE16" s="35">
        <v>99.9549</v>
      </c>
      <c r="DF16" s="35">
        <v>99.9508</v>
      </c>
      <c r="DG16" s="35">
        <v>99.4147</v>
      </c>
      <c r="DH16" s="35">
        <v>99.847</v>
      </c>
      <c r="DI16" s="35">
        <v>27.1565</v>
      </c>
      <c r="DJ16" s="35">
        <v>98.7706</v>
      </c>
      <c r="DK16" s="35">
        <v>0</v>
      </c>
      <c r="DL16" s="35">
        <v>72.2991</v>
      </c>
      <c r="DM16" s="35">
        <v>100</v>
      </c>
      <c r="DN16" s="35">
        <v>96.6098</v>
      </c>
      <c r="DO16" s="35">
        <v>99.8927</v>
      </c>
      <c r="DP16" s="35">
        <v>99.6402</v>
      </c>
      <c r="DQ16" s="35">
        <v>72.3285</v>
      </c>
      <c r="DR16" s="35">
        <v>100</v>
      </c>
      <c r="DS16" s="35">
        <v>100</v>
      </c>
      <c r="DT16" s="35">
        <v>100</v>
      </c>
      <c r="DU16" s="35">
        <v>99.6942</v>
      </c>
      <c r="DV16" s="35">
        <v>4.403</v>
      </c>
      <c r="DW16" s="35">
        <v>97.095</v>
      </c>
      <c r="DX16" s="35">
        <v>100</v>
      </c>
      <c r="DY16" s="35">
        <v>100</v>
      </c>
      <c r="DZ16" s="35">
        <v>100</v>
      </c>
      <c r="EA16" s="35">
        <v>100</v>
      </c>
      <c r="EB16" s="35">
        <v>99.9999</v>
      </c>
      <c r="EC16" s="35">
        <v>94.7975</v>
      </c>
      <c r="ED16" s="35">
        <v>100</v>
      </c>
      <c r="EE16" s="35">
        <v>100</v>
      </c>
      <c r="EF16" s="35">
        <v>99.6855</v>
      </c>
      <c r="EG16" s="35">
        <v>100</v>
      </c>
      <c r="EH16" s="35">
        <v>98.7535</v>
      </c>
      <c r="EI16" s="35">
        <v>100</v>
      </c>
      <c r="EJ16" s="35">
        <v>72.8498</v>
      </c>
      <c r="EK16" s="35">
        <v>100</v>
      </c>
      <c r="EL16" s="35">
        <v>100</v>
      </c>
      <c r="EM16" s="35">
        <v>100</v>
      </c>
      <c r="EN16" s="35">
        <v>80.0295</v>
      </c>
      <c r="EO16" s="35">
        <v>99.5795</v>
      </c>
      <c r="EP16" s="35">
        <v>83.6347</v>
      </c>
      <c r="EQ16" s="35">
        <v>55.2754</v>
      </c>
      <c r="ER16" s="35">
        <v>93.8197</v>
      </c>
      <c r="ES16" s="35">
        <v>96.283178665154</v>
      </c>
      <c r="ET16" s="35"/>
      <c r="EU16" s="42"/>
    </row>
    <row r="17" spans="1:154">
      <c r="A17" s="1"/>
      <c r="B17" s="1">
        <v>6</v>
      </c>
      <c r="C17" s="101">
        <v>44378</v>
      </c>
      <c r="D17" s="101">
        <v>44408.999988426</v>
      </c>
      <c r="F17" s="26">
        <v>7</v>
      </c>
      <c r="G17" s="34">
        <v>100</v>
      </c>
      <c r="H17" s="35">
        <v>100</v>
      </c>
      <c r="I17" s="35">
        <v>100</v>
      </c>
      <c r="J17" s="35">
        <v>100</v>
      </c>
      <c r="K17" s="35">
        <v>100</v>
      </c>
      <c r="L17" s="35">
        <v>100</v>
      </c>
      <c r="M17" s="35">
        <v>100</v>
      </c>
      <c r="N17" s="35">
        <v>100</v>
      </c>
      <c r="O17" s="35">
        <v>100</v>
      </c>
      <c r="P17" s="35">
        <v>100</v>
      </c>
      <c r="Q17" s="35">
        <v>100</v>
      </c>
      <c r="R17" s="35">
        <v>100</v>
      </c>
      <c r="S17" s="39">
        <v>100</v>
      </c>
      <c r="T17" s="39">
        <v>100</v>
      </c>
      <c r="U17" s="35">
        <v>100</v>
      </c>
      <c r="V17" s="35">
        <v>100</v>
      </c>
      <c r="W17" s="35">
        <v>100</v>
      </c>
      <c r="X17" s="35">
        <v>100</v>
      </c>
      <c r="Y17" s="35">
        <v>100</v>
      </c>
      <c r="Z17" s="35">
        <v>100</v>
      </c>
      <c r="AA17" s="35">
        <v>94.8124</v>
      </c>
      <c r="AB17" s="35">
        <v>100</v>
      </c>
      <c r="AC17" s="35">
        <v>100</v>
      </c>
      <c r="AD17" s="35">
        <v>100</v>
      </c>
      <c r="AE17" s="35">
        <v>100</v>
      </c>
      <c r="AF17" s="35">
        <v>100</v>
      </c>
      <c r="AG17" s="35">
        <v>100</v>
      </c>
      <c r="AH17" s="35">
        <v>99.8589</v>
      </c>
      <c r="AI17" s="35">
        <v>100</v>
      </c>
      <c r="AJ17" s="35">
        <v>100</v>
      </c>
      <c r="AK17" s="35">
        <v>100</v>
      </c>
      <c r="AL17" s="35">
        <v>100</v>
      </c>
      <c r="AM17" s="35">
        <v>100</v>
      </c>
      <c r="AN17" s="35">
        <v>99.8413</v>
      </c>
      <c r="AO17" s="35">
        <v>100</v>
      </c>
      <c r="AP17" s="35">
        <v>100</v>
      </c>
      <c r="AQ17" s="35">
        <v>95.3828</v>
      </c>
      <c r="AR17" s="35">
        <v>100</v>
      </c>
      <c r="AS17" s="35">
        <v>100</v>
      </c>
      <c r="AT17" s="35">
        <v>100</v>
      </c>
      <c r="AU17" s="35">
        <v>100</v>
      </c>
      <c r="AV17" s="35">
        <v>100</v>
      </c>
      <c r="AW17" s="35">
        <v>100</v>
      </c>
      <c r="AX17" s="35">
        <v>100</v>
      </c>
      <c r="AY17" s="35">
        <v>81.7344</v>
      </c>
      <c r="AZ17" s="35">
        <v>100</v>
      </c>
      <c r="BA17" s="35">
        <v>100</v>
      </c>
      <c r="BB17" s="35">
        <v>100</v>
      </c>
      <c r="BC17" s="35">
        <v>100</v>
      </c>
      <c r="BD17" s="35">
        <v>0</v>
      </c>
      <c r="BE17" s="35">
        <v>100</v>
      </c>
      <c r="BF17" s="35">
        <v>100</v>
      </c>
      <c r="BG17" s="35">
        <v>100</v>
      </c>
      <c r="BH17" s="35">
        <v>100</v>
      </c>
      <c r="BI17" s="35">
        <v>100</v>
      </c>
      <c r="BJ17" s="35">
        <v>100</v>
      </c>
      <c r="BK17" s="35">
        <v>100</v>
      </c>
      <c r="BL17" s="35">
        <v>100</v>
      </c>
      <c r="BM17" s="35">
        <v>99.9365</v>
      </c>
      <c r="BN17" s="35">
        <v>100</v>
      </c>
      <c r="BO17" s="35">
        <v>100</v>
      </c>
      <c r="BP17" s="35">
        <v>100</v>
      </c>
      <c r="BQ17" s="35">
        <v>100</v>
      </c>
      <c r="BR17" s="35">
        <v>100</v>
      </c>
      <c r="BS17" s="35">
        <v>99.9913</v>
      </c>
      <c r="BT17" s="35">
        <v>100</v>
      </c>
      <c r="BU17" s="35">
        <v>100</v>
      </c>
      <c r="BV17" s="35">
        <v>100</v>
      </c>
      <c r="BW17" s="35">
        <v>100</v>
      </c>
      <c r="BX17" s="35">
        <v>100</v>
      </c>
      <c r="BY17" s="35">
        <v>100</v>
      </c>
      <c r="BZ17" s="35">
        <v>100</v>
      </c>
      <c r="CA17" s="35">
        <v>100</v>
      </c>
      <c r="CB17" s="35">
        <v>100</v>
      </c>
      <c r="CC17" s="35">
        <v>100</v>
      </c>
      <c r="CD17" s="35">
        <v>100</v>
      </c>
      <c r="CE17" s="35">
        <v>100</v>
      </c>
      <c r="CF17" s="35">
        <v>100</v>
      </c>
      <c r="CG17" s="35">
        <v>100</v>
      </c>
      <c r="CH17" s="35">
        <v>100</v>
      </c>
      <c r="CI17" s="35">
        <v>99.7098</v>
      </c>
      <c r="CJ17" s="35">
        <v>99.9707</v>
      </c>
      <c r="CK17" s="35">
        <v>100</v>
      </c>
      <c r="CL17" s="35">
        <v>100</v>
      </c>
      <c r="CM17" s="35">
        <v>100</v>
      </c>
      <c r="CN17" s="35">
        <v>99.3924</v>
      </c>
      <c r="CO17" s="35">
        <v>100</v>
      </c>
      <c r="CP17" s="35">
        <v>100</v>
      </c>
      <c r="CQ17" s="35">
        <v>100</v>
      </c>
      <c r="CR17" s="35">
        <v>99.9644</v>
      </c>
      <c r="CS17" s="35">
        <v>99.942</v>
      </c>
      <c r="CT17" s="35">
        <v>99.8299</v>
      </c>
      <c r="CU17" s="35">
        <v>99.9618</v>
      </c>
      <c r="CV17" s="35">
        <v>100</v>
      </c>
      <c r="CW17" s="35">
        <v>100</v>
      </c>
      <c r="CX17" s="35">
        <v>100</v>
      </c>
      <c r="CY17" s="35">
        <v>100</v>
      </c>
      <c r="CZ17" s="35">
        <v>100</v>
      </c>
      <c r="DA17" s="35">
        <v>100</v>
      </c>
      <c r="DB17" s="35">
        <v>100</v>
      </c>
      <c r="DC17" s="35">
        <v>100</v>
      </c>
      <c r="DD17" s="35">
        <v>99.9245</v>
      </c>
      <c r="DE17" s="35">
        <v>100</v>
      </c>
      <c r="DF17" s="35">
        <v>100</v>
      </c>
      <c r="DG17" s="35">
        <v>99.9271</v>
      </c>
      <c r="DH17" s="35">
        <v>100</v>
      </c>
      <c r="DI17" s="35">
        <v>100</v>
      </c>
      <c r="DJ17" s="35">
        <v>100</v>
      </c>
      <c r="DK17" s="35">
        <v>0</v>
      </c>
      <c r="DL17" s="35">
        <v>99.8502</v>
      </c>
      <c r="DM17" s="35">
        <v>100</v>
      </c>
      <c r="DN17" s="35">
        <v>99.8053</v>
      </c>
      <c r="DO17" s="35">
        <v>100</v>
      </c>
      <c r="DP17" s="35">
        <v>100</v>
      </c>
      <c r="DQ17" s="35">
        <v>100</v>
      </c>
      <c r="DR17" s="35">
        <v>99.7973</v>
      </c>
      <c r="DS17" s="35">
        <v>100</v>
      </c>
      <c r="DT17" s="35">
        <v>100</v>
      </c>
      <c r="DU17" s="35">
        <v>100</v>
      </c>
      <c r="DV17" s="35">
        <v>99.0399</v>
      </c>
      <c r="DW17" s="35">
        <v>100</v>
      </c>
      <c r="DX17" s="35">
        <v>100</v>
      </c>
      <c r="DY17" s="35">
        <v>100</v>
      </c>
      <c r="DZ17" s="35">
        <v>56.1217</v>
      </c>
      <c r="EA17" s="35">
        <v>100</v>
      </c>
      <c r="EB17" s="35">
        <v>100</v>
      </c>
      <c r="EC17" s="35">
        <v>99.8369</v>
      </c>
      <c r="ED17" s="35">
        <v>100</v>
      </c>
      <c r="EE17" s="35">
        <v>100</v>
      </c>
      <c r="EF17" s="35">
        <v>100</v>
      </c>
      <c r="EG17" s="35">
        <v>100</v>
      </c>
      <c r="EH17" s="35">
        <v>100</v>
      </c>
      <c r="EI17" s="35">
        <v>100</v>
      </c>
      <c r="EJ17" s="35">
        <v>100</v>
      </c>
      <c r="EK17" s="35">
        <v>100</v>
      </c>
      <c r="EL17" s="35">
        <v>100</v>
      </c>
      <c r="EM17" s="35">
        <v>100</v>
      </c>
      <c r="EN17" s="35">
        <v>98.6631</v>
      </c>
      <c r="EO17" s="35">
        <v>100</v>
      </c>
      <c r="EP17" s="35">
        <v>100</v>
      </c>
      <c r="EQ17" s="35">
        <v>0</v>
      </c>
      <c r="ER17" s="35">
        <v>100</v>
      </c>
      <c r="ES17" s="35">
        <v>97.347144456893</v>
      </c>
      <c r="ET17" s="35"/>
      <c r="EU17" s="42"/>
    </row>
    <row r="18" spans="1:154">
      <c r="A18" s="1"/>
      <c r="B18" s="1">
        <v>7</v>
      </c>
      <c r="C18" s="101">
        <v>44409</v>
      </c>
      <c r="D18" s="101">
        <v>44439.999988426</v>
      </c>
      <c r="F18" s="26">
        <v>8</v>
      </c>
      <c r="G18" s="34">
        <v>100</v>
      </c>
      <c r="H18" s="35">
        <v>100</v>
      </c>
      <c r="I18" s="35">
        <v>100</v>
      </c>
      <c r="J18" s="35">
        <v>100</v>
      </c>
      <c r="K18" s="35">
        <v>100</v>
      </c>
      <c r="L18" s="35">
        <v>100</v>
      </c>
      <c r="M18" s="35">
        <v>100</v>
      </c>
      <c r="N18" s="35">
        <v>100</v>
      </c>
      <c r="O18" s="35">
        <v>100</v>
      </c>
      <c r="P18" s="35">
        <v>100</v>
      </c>
      <c r="Q18" s="35">
        <v>100</v>
      </c>
      <c r="R18" s="35">
        <v>100</v>
      </c>
      <c r="S18" s="39">
        <v>100</v>
      </c>
      <c r="T18" s="39">
        <v>100</v>
      </c>
      <c r="U18" s="35">
        <v>100</v>
      </c>
      <c r="V18" s="35">
        <v>100</v>
      </c>
      <c r="W18" s="35">
        <v>100</v>
      </c>
      <c r="X18" s="35">
        <v>100</v>
      </c>
      <c r="Y18" s="35">
        <v>100</v>
      </c>
      <c r="Z18" s="35">
        <v>100</v>
      </c>
      <c r="AA18" s="35">
        <v>100</v>
      </c>
      <c r="AB18" s="35">
        <v>100</v>
      </c>
      <c r="AC18" s="35">
        <v>100</v>
      </c>
      <c r="AD18" s="35">
        <v>100</v>
      </c>
      <c r="AE18" s="35">
        <v>100</v>
      </c>
      <c r="AF18" s="35">
        <v>99.9365</v>
      </c>
      <c r="AG18" s="35">
        <v>100</v>
      </c>
      <c r="AH18" s="35">
        <v>100</v>
      </c>
      <c r="AI18" s="35">
        <v>100</v>
      </c>
      <c r="AJ18" s="35">
        <v>100</v>
      </c>
      <c r="AK18" s="35">
        <v>100</v>
      </c>
      <c r="AL18" s="35">
        <v>100</v>
      </c>
      <c r="AM18" s="35">
        <v>100</v>
      </c>
      <c r="AN18" s="35">
        <v>100</v>
      </c>
      <c r="AO18" s="35">
        <v>100</v>
      </c>
      <c r="AP18" s="35">
        <v>100</v>
      </c>
      <c r="AQ18" s="35">
        <v>94.8308</v>
      </c>
      <c r="AR18" s="35">
        <v>100</v>
      </c>
      <c r="AS18" s="35">
        <v>100</v>
      </c>
      <c r="AT18" s="35">
        <v>100</v>
      </c>
      <c r="AU18" s="35">
        <v>100</v>
      </c>
      <c r="AV18" s="35">
        <v>100</v>
      </c>
      <c r="AW18" s="35">
        <v>100</v>
      </c>
      <c r="AX18" s="35">
        <v>100</v>
      </c>
      <c r="AY18" s="35">
        <v>100</v>
      </c>
      <c r="AZ18" s="35">
        <v>100</v>
      </c>
      <c r="BA18" s="35">
        <v>100</v>
      </c>
      <c r="BB18" s="35">
        <v>100</v>
      </c>
      <c r="BC18" s="35">
        <v>99.9596</v>
      </c>
      <c r="BD18" s="35">
        <v>0</v>
      </c>
      <c r="BE18" s="35">
        <v>100</v>
      </c>
      <c r="BF18" s="35">
        <v>100</v>
      </c>
      <c r="BG18" s="35">
        <v>100</v>
      </c>
      <c r="BH18" s="35">
        <v>100</v>
      </c>
      <c r="BI18" s="35">
        <v>100</v>
      </c>
      <c r="BJ18" s="35">
        <v>100</v>
      </c>
      <c r="BK18" s="35">
        <v>100</v>
      </c>
      <c r="BL18" s="35">
        <v>100</v>
      </c>
      <c r="BM18" s="35">
        <v>100</v>
      </c>
      <c r="BN18" s="35">
        <v>100</v>
      </c>
      <c r="BO18" s="35">
        <v>100</v>
      </c>
      <c r="BP18" s="35">
        <v>100</v>
      </c>
      <c r="BQ18" s="35">
        <v>100</v>
      </c>
      <c r="BR18" s="35">
        <v>100</v>
      </c>
      <c r="BS18" s="35">
        <v>100</v>
      </c>
      <c r="BT18" s="35">
        <v>100</v>
      </c>
      <c r="BU18" s="35">
        <v>100</v>
      </c>
      <c r="BV18" s="35">
        <v>100</v>
      </c>
      <c r="BW18" s="35">
        <v>100</v>
      </c>
      <c r="BX18" s="35">
        <v>100</v>
      </c>
      <c r="BY18" s="35">
        <v>100</v>
      </c>
      <c r="BZ18" s="35">
        <v>100</v>
      </c>
      <c r="CA18" s="35">
        <v>100</v>
      </c>
      <c r="CB18" s="35">
        <v>100</v>
      </c>
      <c r="CC18" s="35">
        <v>96.6859</v>
      </c>
      <c r="CD18" s="35">
        <v>100</v>
      </c>
      <c r="CE18" s="35">
        <v>100</v>
      </c>
      <c r="CF18" s="35">
        <v>100</v>
      </c>
      <c r="CG18" s="35">
        <v>100</v>
      </c>
      <c r="CH18" s="35">
        <v>100</v>
      </c>
      <c r="CI18" s="35">
        <v>100</v>
      </c>
      <c r="CJ18" s="35">
        <v>100</v>
      </c>
      <c r="CK18" s="35">
        <v>100</v>
      </c>
      <c r="CL18" s="35">
        <v>100</v>
      </c>
      <c r="CM18" s="35">
        <v>100</v>
      </c>
      <c r="CN18" s="35">
        <v>84.8708</v>
      </c>
      <c r="CO18" s="35">
        <v>99.9349</v>
      </c>
      <c r="CP18" s="35">
        <v>99.9864</v>
      </c>
      <c r="CQ18" s="35">
        <v>100</v>
      </c>
      <c r="CR18" s="35">
        <v>100</v>
      </c>
      <c r="CS18" s="35">
        <v>100</v>
      </c>
      <c r="CT18" s="35">
        <v>99.892</v>
      </c>
      <c r="CU18" s="35">
        <v>100</v>
      </c>
      <c r="CV18" s="35">
        <v>100</v>
      </c>
      <c r="CW18" s="35">
        <v>100</v>
      </c>
      <c r="CX18" s="35">
        <v>100</v>
      </c>
      <c r="CY18" s="35">
        <v>86.5934</v>
      </c>
      <c r="CZ18" s="35">
        <v>100</v>
      </c>
      <c r="DA18" s="35">
        <v>99.947</v>
      </c>
      <c r="DB18" s="35">
        <v>99.9471</v>
      </c>
      <c r="DC18" s="35">
        <v>99.9471</v>
      </c>
      <c r="DD18" s="35">
        <v>100</v>
      </c>
      <c r="DE18" s="35">
        <v>100</v>
      </c>
      <c r="DF18" s="35">
        <v>100</v>
      </c>
      <c r="DG18" s="35">
        <v>99.893</v>
      </c>
      <c r="DH18" s="35">
        <v>100</v>
      </c>
      <c r="DI18" s="35">
        <v>99.9944</v>
      </c>
      <c r="DJ18" s="35">
        <v>97.1435</v>
      </c>
      <c r="DK18" s="35">
        <v>0</v>
      </c>
      <c r="DL18" s="35">
        <v>51.1498</v>
      </c>
      <c r="DM18" s="35">
        <v>100</v>
      </c>
      <c r="DN18" s="35">
        <v>99.8939</v>
      </c>
      <c r="DO18" s="35">
        <v>99.902</v>
      </c>
      <c r="DP18" s="35">
        <v>96.0149</v>
      </c>
      <c r="DQ18" s="35">
        <v>100</v>
      </c>
      <c r="DR18" s="35">
        <v>100</v>
      </c>
      <c r="DS18" s="35">
        <v>100</v>
      </c>
      <c r="DT18" s="35">
        <v>100</v>
      </c>
      <c r="DU18" s="35">
        <v>100</v>
      </c>
      <c r="DV18" s="35">
        <v>87.4667</v>
      </c>
      <c r="DW18" s="35">
        <v>100</v>
      </c>
      <c r="DX18" s="35">
        <v>100</v>
      </c>
      <c r="DY18" s="35">
        <v>100</v>
      </c>
      <c r="DZ18" s="35">
        <v>100</v>
      </c>
      <c r="EA18" s="35">
        <v>100</v>
      </c>
      <c r="EB18" s="35">
        <v>100</v>
      </c>
      <c r="EC18" s="35">
        <v>100</v>
      </c>
      <c r="ED18" s="35">
        <v>100</v>
      </c>
      <c r="EE18" s="35">
        <v>100</v>
      </c>
      <c r="EF18" s="35">
        <v>100</v>
      </c>
      <c r="EG18" s="35">
        <v>100</v>
      </c>
      <c r="EH18" s="35">
        <v>100</v>
      </c>
      <c r="EI18" s="35">
        <v>100</v>
      </c>
      <c r="EJ18" s="35">
        <v>100</v>
      </c>
      <c r="EK18" s="35">
        <v>100</v>
      </c>
      <c r="EL18" s="35">
        <v>100</v>
      </c>
      <c r="EM18" s="35">
        <v>100</v>
      </c>
      <c r="EN18" s="35">
        <v>100</v>
      </c>
      <c r="EO18" s="35">
        <v>100</v>
      </c>
      <c r="EP18" s="35">
        <v>100</v>
      </c>
      <c r="EQ18" s="35">
        <v>0</v>
      </c>
      <c r="ER18" s="35">
        <v>100</v>
      </c>
      <c r="ES18" s="35">
        <v>97.140772749523</v>
      </c>
      <c r="ET18" s="35"/>
      <c r="EU18" s="42"/>
    </row>
    <row r="19" spans="1:154">
      <c r="A19" s="1"/>
      <c r="B19" s="1">
        <v>8</v>
      </c>
      <c r="C19" s="101">
        <v>44440</v>
      </c>
      <c r="D19" s="101">
        <v>44469.999988426</v>
      </c>
      <c r="F19" s="26">
        <v>9</v>
      </c>
      <c r="G19" s="34">
        <v>100</v>
      </c>
      <c r="H19" s="35">
        <v>100</v>
      </c>
      <c r="I19" s="35">
        <v>100</v>
      </c>
      <c r="J19" s="35">
        <v>100</v>
      </c>
      <c r="K19" s="35">
        <v>100</v>
      </c>
      <c r="L19" s="35">
        <v>100</v>
      </c>
      <c r="M19" s="35">
        <v>100</v>
      </c>
      <c r="N19" s="35">
        <v>99.9</v>
      </c>
      <c r="O19" s="35">
        <v>100</v>
      </c>
      <c r="P19" s="35">
        <v>49.3731</v>
      </c>
      <c r="Q19" s="35">
        <v>100</v>
      </c>
      <c r="R19" s="35">
        <v>100</v>
      </c>
      <c r="S19" s="39">
        <v>100</v>
      </c>
      <c r="T19" s="39">
        <v>100</v>
      </c>
      <c r="U19" s="35">
        <v>100</v>
      </c>
      <c r="V19" s="35">
        <v>100</v>
      </c>
      <c r="W19" s="35">
        <v>100</v>
      </c>
      <c r="X19" s="35">
        <v>100</v>
      </c>
      <c r="Y19" s="35">
        <v>100</v>
      </c>
      <c r="Z19" s="35">
        <v>100</v>
      </c>
      <c r="AA19" s="35">
        <v>100</v>
      </c>
      <c r="AB19" s="35">
        <v>99.1179</v>
      </c>
      <c r="AC19" s="35">
        <v>100</v>
      </c>
      <c r="AD19" s="35">
        <v>100</v>
      </c>
      <c r="AE19" s="35">
        <v>99.1887</v>
      </c>
      <c r="AF19" s="35">
        <v>100</v>
      </c>
      <c r="AG19" s="35">
        <v>100</v>
      </c>
      <c r="AH19" s="35">
        <v>100</v>
      </c>
      <c r="AI19" s="35">
        <v>100</v>
      </c>
      <c r="AJ19" s="35">
        <v>99.1887</v>
      </c>
      <c r="AK19" s="35">
        <v>100</v>
      </c>
      <c r="AL19" s="35">
        <v>100</v>
      </c>
      <c r="AM19" s="35">
        <v>95.861</v>
      </c>
      <c r="AN19" s="35">
        <v>100</v>
      </c>
      <c r="AO19" s="35">
        <v>100</v>
      </c>
      <c r="AP19" s="35">
        <v>94.7353</v>
      </c>
      <c r="AQ19" s="35">
        <v>95.4821</v>
      </c>
      <c r="AR19" s="35">
        <v>100</v>
      </c>
      <c r="AS19" s="35">
        <v>100</v>
      </c>
      <c r="AT19" s="35">
        <v>94.6817</v>
      </c>
      <c r="AU19" s="35">
        <v>100</v>
      </c>
      <c r="AV19" s="35">
        <v>100</v>
      </c>
      <c r="AW19" s="35">
        <v>100</v>
      </c>
      <c r="AX19" s="35">
        <v>100</v>
      </c>
      <c r="AY19" s="35">
        <v>100</v>
      </c>
      <c r="AZ19" s="35">
        <v>100</v>
      </c>
      <c r="BA19" s="35">
        <v>100</v>
      </c>
      <c r="BB19" s="35">
        <v>100</v>
      </c>
      <c r="BC19" s="35">
        <v>100</v>
      </c>
      <c r="BD19" s="35">
        <v>0</v>
      </c>
      <c r="BE19" s="35">
        <v>99.1958</v>
      </c>
      <c r="BF19" s="35">
        <v>100</v>
      </c>
      <c r="BG19" s="35">
        <v>100</v>
      </c>
      <c r="BH19" s="35">
        <v>99.991</v>
      </c>
      <c r="BI19" s="35">
        <v>96.6848</v>
      </c>
      <c r="BJ19" s="35">
        <v>100</v>
      </c>
      <c r="BK19" s="35">
        <v>100</v>
      </c>
      <c r="BL19" s="35">
        <v>100</v>
      </c>
      <c r="BM19" s="35">
        <v>100</v>
      </c>
      <c r="BN19" s="35">
        <v>100</v>
      </c>
      <c r="BO19" s="35">
        <v>100</v>
      </c>
      <c r="BP19" s="35">
        <v>100</v>
      </c>
      <c r="BQ19" s="35">
        <v>100</v>
      </c>
      <c r="BR19" s="35">
        <v>100</v>
      </c>
      <c r="BS19" s="35">
        <v>100</v>
      </c>
      <c r="BT19" s="35">
        <v>100</v>
      </c>
      <c r="BU19" s="35">
        <v>100</v>
      </c>
      <c r="BV19" s="35">
        <v>100</v>
      </c>
      <c r="BW19" s="35">
        <v>100</v>
      </c>
      <c r="BX19" s="35">
        <v>100</v>
      </c>
      <c r="BY19" s="35">
        <v>100</v>
      </c>
      <c r="BZ19" s="35">
        <v>100</v>
      </c>
      <c r="CA19" s="35">
        <v>100</v>
      </c>
      <c r="CB19" s="35">
        <v>100</v>
      </c>
      <c r="CC19" s="35">
        <v>99.5585</v>
      </c>
      <c r="CD19" s="35">
        <v>100</v>
      </c>
      <c r="CE19" s="35">
        <v>100</v>
      </c>
      <c r="CF19" s="35">
        <v>100</v>
      </c>
      <c r="CG19" s="35">
        <v>100</v>
      </c>
      <c r="CH19" s="35">
        <v>100</v>
      </c>
      <c r="CI19" s="35">
        <v>100</v>
      </c>
      <c r="CJ19" s="35">
        <v>100</v>
      </c>
      <c r="CK19" s="35">
        <v>100</v>
      </c>
      <c r="CL19" s="35">
        <v>100</v>
      </c>
      <c r="CM19" s="35">
        <v>100</v>
      </c>
      <c r="CN19" s="35">
        <v>76.0727</v>
      </c>
      <c r="CO19" s="35">
        <v>99.397</v>
      </c>
      <c r="CP19" s="35">
        <v>100</v>
      </c>
      <c r="CQ19" s="35">
        <v>84.2638</v>
      </c>
      <c r="CR19" s="35">
        <v>100</v>
      </c>
      <c r="CS19" s="35">
        <v>99.9361</v>
      </c>
      <c r="CT19" s="35">
        <v>99.8721</v>
      </c>
      <c r="CU19" s="35">
        <v>99.9509</v>
      </c>
      <c r="CV19" s="35">
        <v>99.387</v>
      </c>
      <c r="CW19" s="35">
        <v>99.7984</v>
      </c>
      <c r="CX19" s="35">
        <v>99.9369</v>
      </c>
      <c r="CY19" s="35">
        <v>100</v>
      </c>
      <c r="CZ19" s="35">
        <v>99.9959</v>
      </c>
      <c r="DA19" s="35">
        <v>100</v>
      </c>
      <c r="DB19" s="35">
        <v>100</v>
      </c>
      <c r="DC19" s="35">
        <v>100</v>
      </c>
      <c r="DD19" s="35">
        <v>100</v>
      </c>
      <c r="DE19" s="35">
        <v>99.0209</v>
      </c>
      <c r="DF19" s="35">
        <v>100</v>
      </c>
      <c r="DG19" s="35">
        <v>97.0117</v>
      </c>
      <c r="DH19" s="35">
        <v>100</v>
      </c>
      <c r="DI19" s="35">
        <v>100</v>
      </c>
      <c r="DJ19" s="35">
        <v>100</v>
      </c>
      <c r="DK19" s="35">
        <v>55.8503</v>
      </c>
      <c r="DL19" s="35">
        <v>100</v>
      </c>
      <c r="DM19" s="35">
        <v>100</v>
      </c>
      <c r="DN19" s="35">
        <v>97.8997</v>
      </c>
      <c r="DO19" s="35">
        <v>99.9369</v>
      </c>
      <c r="DP19" s="35">
        <v>100</v>
      </c>
      <c r="DQ19" s="35">
        <v>100</v>
      </c>
      <c r="DR19" s="35">
        <v>100</v>
      </c>
      <c r="DS19" s="35">
        <v>100</v>
      </c>
      <c r="DT19" s="35">
        <v>100</v>
      </c>
      <c r="DU19" s="35">
        <v>99.1345</v>
      </c>
      <c r="DV19" s="35">
        <v>100</v>
      </c>
      <c r="DW19" s="35">
        <v>99.9788</v>
      </c>
      <c r="DX19" s="35">
        <v>100</v>
      </c>
      <c r="DY19" s="35">
        <v>100</v>
      </c>
      <c r="DZ19" s="35">
        <v>99.9998</v>
      </c>
      <c r="EA19" s="35">
        <v>97.4347</v>
      </c>
      <c r="EB19" s="35">
        <v>99.9998</v>
      </c>
      <c r="EC19" s="35">
        <v>99.9262</v>
      </c>
      <c r="ED19" s="35">
        <v>100</v>
      </c>
      <c r="EE19" s="35">
        <v>100</v>
      </c>
      <c r="EF19" s="35">
        <v>100</v>
      </c>
      <c r="EG19" s="35">
        <v>100</v>
      </c>
      <c r="EH19" s="35">
        <v>77.0197</v>
      </c>
      <c r="EI19" s="35">
        <v>76.5118</v>
      </c>
      <c r="EJ19" s="35">
        <v>99.8014</v>
      </c>
      <c r="EK19" s="35">
        <v>100</v>
      </c>
      <c r="EL19" s="35">
        <v>99.8459</v>
      </c>
      <c r="EM19" s="35">
        <v>100</v>
      </c>
      <c r="EN19" s="35">
        <v>99.9716</v>
      </c>
      <c r="EO19" s="35">
        <v>100</v>
      </c>
      <c r="EP19" s="35">
        <v>100</v>
      </c>
      <c r="EQ19" s="35">
        <v>55.9478</v>
      </c>
      <c r="ER19" s="35">
        <v>100</v>
      </c>
      <c r="ES19" s="35">
        <v>97.442682894445</v>
      </c>
      <c r="ET19" s="35"/>
      <c r="EU19" s="42"/>
    </row>
    <row r="20" spans="1:154">
      <c r="A20" s="1"/>
      <c r="F20" s="26"/>
      <c r="G20" s="34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9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42"/>
    </row>
    <row r="21" spans="1:154">
      <c r="A21" s="1"/>
      <c r="F21" s="26"/>
      <c r="G21" s="34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9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42"/>
    </row>
    <row r="22" spans="1:154">
      <c r="A22" s="1"/>
      <c r="F22" s="26"/>
      <c r="G22" s="34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9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42"/>
    </row>
    <row r="23" spans="1:154">
      <c r="A23" s="1"/>
      <c r="F23" s="26"/>
      <c r="G23" s="34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9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42"/>
    </row>
    <row r="24" spans="1:154">
      <c r="A24" s="1"/>
      <c r="F24" s="26"/>
      <c r="G24" s="34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9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42"/>
    </row>
    <row r="25" spans="1:154">
      <c r="A25" s="1"/>
      <c r="F25" s="26"/>
      <c r="G25" s="34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9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42"/>
    </row>
    <row r="26" spans="1:154">
      <c r="A26" s="1"/>
      <c r="F26" s="26"/>
      <c r="G26" s="34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9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42"/>
    </row>
    <row r="27" spans="1:154">
      <c r="A27" s="1"/>
      <c r="F27" s="26"/>
      <c r="G27" s="34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9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42"/>
    </row>
    <row r="28" spans="1:154">
      <c r="A28" s="1"/>
      <c r="F28" s="26"/>
      <c r="G28" s="34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9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42"/>
    </row>
    <row r="29" spans="1:154">
      <c r="A29" s="1"/>
      <c r="F29" s="26"/>
      <c r="G29" s="34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9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42"/>
    </row>
    <row r="30" spans="1:154" customHeight="1" ht="15.75">
      <c r="A30" s="1" t="s">
        <v>203</v>
      </c>
      <c r="F30" s="27"/>
      <c r="G30" s="36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0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43"/>
    </row>
    <row r="31" spans="1:154">
      <c r="A31" s="1" t="s">
        <v>204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N5:O5"/>
    <mergeCell ref="K5:L5"/>
  </mergeCells>
  <printOptions gridLines="false" gridLinesSet="true"/>
  <pageMargins left="0.23622047244094" right="0.23622047244094" top="0.74803149606299" bottom="0.74803149606299" header="0.31496062992126" footer="0.31496062992126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FIRST PAGE</vt:lpstr>
      <vt:lpstr>REPORT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desmete</cp:lastModifiedBy>
  <dcterms:created xsi:type="dcterms:W3CDTF">2014-10-05T03:36:43+00:00</dcterms:created>
  <dcterms:modified xsi:type="dcterms:W3CDTF">2019-02-27T14:16:35+00:00</dcterms:modified>
  <dc:title>KPI 213 Monthly 2021</dc:title>
  <dc:description/>
  <dc:subject>start-date - end-date 17:00 - 20:00</dc:subject>
  <cp:keywords/>
  <cp:category/>
</cp:coreProperties>
</file>