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drawings/drawing3.xml" ContentType="application/vnd.openxmlformats-officedocument.drawing+xml"/>
  <Default Extension="png" ContentType="image/png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1" firstSheet="0" minimized="0" showHorizontalScroll="1" showSheetTabs="1" showVerticalScroll="1" tabRatio="600" visibility="visible"/>
  </bookViews>
  <sheets>
    <sheet name="REPDEF" sheetId="1" state="hidden" r:id="rId4"/>
    <sheet name="FIRST PAGE" sheetId="2" r:id="rId5"/>
    <sheet name="REPORT" sheetId="3" r:id="rId6"/>
  </sheets>
  <definedNames>
    <definedName name="EQVAL">'REPORT'!$G$11:$Z$30</definedName>
    <definedName name="INTERVAL">'FIRST PAGE'!$F$2</definedName>
    <definedName name="INTVAL">'REPORT'!$F$11:$F$30</definedName>
    <definedName name="INTVAL_F">'FIRST PAGE'!$B$15:$B$26</definedName>
    <definedName name="PERCENTAGE">'FIRST PAGE'!$D$6</definedName>
    <definedName name="_xlnm.print_titles">'REPORT'!$4:$10</definedName>
    <definedName name="GRP_1438">'REPORT'!$V$11:$V$30</definedName>
    <definedName name="GRP_1438_NAME">'REPORT'!$V$8</definedName>
  </definedNames>
  <calcPr calcId="999999" calcMode="auto" calcCompleted="0" fullCalcOnLoad="1"/>
</workbook>
</file>

<file path=xl/sharedStrings.xml><?xml version="1.0" encoding="utf-8"?>
<sst xmlns="http://schemas.openxmlformats.org/spreadsheetml/2006/main" uniqueCount="78">
  <si>
    <t>id</t>
  </si>
  <si>
    <t>id_report</t>
  </si>
  <si>
    <t>name</t>
  </si>
  <si>
    <t>excel_sheet</t>
  </si>
  <si>
    <t>report_type</t>
  </si>
  <si>
    <t>group_values_only</t>
  </si>
  <si>
    <t>interval</t>
  </si>
  <si>
    <t>user_groups</t>
  </si>
  <si>
    <t>restrict_user_id</t>
  </si>
  <si>
    <t>cycle</t>
  </si>
  <si>
    <t>iterations</t>
  </si>
  <si>
    <t>id_user</t>
  </si>
  <si>
    <t>status</t>
  </si>
  <si>
    <t>start_date</t>
  </si>
  <si>
    <t>end_date</t>
  </si>
  <si>
    <t>start_time</t>
  </si>
  <si>
    <t>end_time</t>
  </si>
  <si>
    <t>email</t>
  </si>
  <si>
    <t>no_maintenance</t>
  </si>
  <si>
    <t>g_start_date</t>
  </si>
  <si>
    <t>g_end_date</t>
  </si>
  <si>
    <t>point_groups</t>
  </si>
  <si>
    <t>Lot3 KPI 213 Monthly 2019</t>
  </si>
  <si>
    <t>stat_kpi_213</t>
  </si>
  <si>
    <t>month</t>
  </si>
  <si>
    <t>all</t>
  </si>
  <si>
    <t>running</t>
  </si>
  <si>
    <t>codexplatform-airport.cofely.be@engie.com , qcc@brusselsairport.be,bacavailabilities@cofelygtc.com,nflandre@nflandre.be</t>
  </si>
  <si>
    <t>-1-2-</t>
  </si>
  <si>
    <t>KPI 213</t>
  </si>
  <si>
    <t>Maand:</t>
  </si>
  <si>
    <t>Opgemaakt door:</t>
  </si>
  <si>
    <t>AMS</t>
  </si>
  <si>
    <t>primaire verluchting</t>
  </si>
  <si>
    <t>Samenvatting</t>
  </si>
  <si>
    <t>Percentage beschikbaarheid</t>
  </si>
  <si>
    <t>Score gebied</t>
  </si>
  <si>
    <t>100% - 90%</t>
  </si>
  <si>
    <t>89,9% - 80%</t>
  </si>
  <si>
    <t>79.9%-0%</t>
  </si>
  <si>
    <t>Punten KPI</t>
  </si>
  <si>
    <t>Data vorige scores</t>
  </si>
  <si>
    <t>Score</t>
  </si>
  <si>
    <t>RFLAG</t>
  </si>
  <si>
    <t>PNUM</t>
  </si>
  <si>
    <t>SDATE</t>
  </si>
  <si>
    <t>EDATE</t>
  </si>
  <si>
    <t>INTID</t>
  </si>
  <si>
    <t>EQ1</t>
  </si>
  <si>
    <t>EQN</t>
  </si>
  <si>
    <t>GRPID</t>
  </si>
  <si>
    <t>GRP_1438</t>
  </si>
  <si>
    <t>-</t>
  </si>
  <si>
    <t>Interval:</t>
  </si>
  <si>
    <t>EQT</t>
  </si>
  <si>
    <t>EQ</t>
  </si>
  <si>
    <t>GTA_02__AHU__001</t>
  </si>
  <si>
    <t>GTA_02__AHU__002</t>
  </si>
  <si>
    <t>GTA_26__AEU_THERMAL</t>
  </si>
  <si>
    <t>GTA_26__ASU_FILTER</t>
  </si>
  <si>
    <t>GTA_26__ASU_THERMAL</t>
  </si>
  <si>
    <t>GTA_32__AHU__000</t>
  </si>
  <si>
    <t>GTA_32__AHU__019</t>
  </si>
  <si>
    <t>GTA_32__AHU__GP1</t>
  </si>
  <si>
    <t>GTA_32__AHU__GP6</t>
  </si>
  <si>
    <t>GTA_32__AHU__GP7</t>
  </si>
  <si>
    <t>GTA_706_AHU__001</t>
  </si>
  <si>
    <t>GTA_706_AHU__004</t>
  </si>
  <si>
    <t>GTA_706_AHU__005</t>
  </si>
  <si>
    <t>GTA_706_AHU__006</t>
  </si>
  <si>
    <t>GTA_706_AHU__007</t>
  </si>
  <si>
    <t>Lot3_KPI_213_PR</t>
  </si>
  <si>
    <t>OBJ</t>
  </si>
  <si>
    <t>NUMEQ</t>
  </si>
  <si>
    <t>#EQ</t>
  </si>
  <si>
    <t>P1</t>
  </si>
  <si>
    <t>PN</t>
  </si>
  <si>
    <t>LL</t>
  </si>
</sst>
</file>

<file path=xl/styles.xml><?xml version="1.0" encoding="utf-8"?>
<styleSheet xmlns="http://schemas.openxmlformats.org/spreadsheetml/2006/main" xml:space="preserve">
  <numFmts count="5">
    <numFmt numFmtId="164" formatCode="h:mm;@"/>
    <numFmt numFmtId="165" formatCode="yyyy\-mm\-dd"/>
    <numFmt numFmtId="166" formatCode="dd\-mm\-yy;@"/>
    <numFmt numFmtId="167" formatCode="d/m/y h:mm"/>
    <numFmt numFmtId="168" formatCode="yyyy-mm-dd"/>
  </numFmts>
  <fonts count="6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000000"/>
      <name val="Times New Roman"/>
    </font>
    <font>
      <b val="1"/>
      <i val="0"/>
      <strike val="0"/>
      <u val="none"/>
      <sz val="14"/>
      <color rgb="FF000000"/>
      <name val="Times New Roman"/>
    </font>
    <font>
      <b val="1"/>
      <i val="0"/>
      <strike val="0"/>
      <u val="none"/>
      <sz val="11"/>
      <color rgb="FF000000"/>
      <name val="Times New Roman"/>
    </font>
    <font>
      <b val="1"/>
      <i val="0"/>
      <strike val="0"/>
      <u val="none"/>
      <sz val="11"/>
      <color rgb="FF000000"/>
      <name val="Calibri"/>
    </font>
    <font>
      <b val="1"/>
      <i val="0"/>
      <strike val="0"/>
      <u val="none"/>
      <sz val="12"/>
      <color rgb="FF000000"/>
      <name val="Times New Roman"/>
    </font>
  </fonts>
  <fills count="6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BFBFB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5A5A5"/>
        <bgColor rgb="FFFFFFFF"/>
      </patternFill>
    </fill>
  </fills>
  <borders count="49">
    <border/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</borders>
  <cellStyleXfs count="1">
    <xf numFmtId="0" fontId="0" fillId="0" borderId="0"/>
  </cellStyleXfs>
  <cellXfs count="103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1" applyFont="1" applyNumberFormat="0" applyFill="0" applyBorder="1" applyAlignment="0">
      <alignment horizontal="general" vertical="bottom" textRotation="0" wrapText="false" shrinkToFit="false"/>
    </xf>
    <xf xfId="0" fontId="1" numFmtId="0" fillId="2" borderId="2" applyFont="1" applyNumberFormat="0" applyFill="0" applyBorder="1" applyAlignment="0">
      <alignment horizontal="general" vertical="bottom" textRotation="0" wrapText="false" shrinkToFit="false"/>
    </xf>
    <xf xfId="0" fontId="1" numFmtId="0" fillId="2" borderId="3" applyFont="1" applyNumberFormat="0" applyFill="0" applyBorder="1" applyAlignment="0">
      <alignment horizontal="general" vertical="bottom" textRotation="0" wrapText="false" shrinkToFit="false"/>
    </xf>
    <xf xfId="0" fontId="1" numFmtId="0" fillId="3" borderId="0" applyFont="1" applyNumberFormat="0" applyFill="1" applyBorder="0" applyAlignment="0">
      <alignment horizontal="general" vertical="bottom" textRotation="0" wrapText="false" shrinkToFit="false"/>
    </xf>
    <xf xfId="0" fontId="1" numFmtId="0" fillId="2" borderId="4" applyFont="1" applyNumberFormat="0" applyFill="0" applyBorder="1" applyAlignment="0">
      <alignment horizontal="general" vertical="bottom" textRotation="0" wrapText="false" shrinkToFit="false"/>
    </xf>
    <xf xfId="0" fontId="1" numFmtId="0" fillId="2" borderId="5" applyFont="1" applyNumberFormat="0" applyFill="0" applyBorder="1" applyAlignment="0">
      <alignment horizontal="general" vertical="bottom" textRotation="0" wrapText="false" shrinkToFit="false"/>
    </xf>
    <xf xfId="0" fontId="1" numFmtId="0" fillId="2" borderId="6" applyFont="1" applyNumberFormat="0" applyFill="0" applyBorder="1" applyAlignment="0">
      <alignment horizontal="general" vertical="bottom" textRotation="0" wrapText="false" shrinkToFit="false"/>
    </xf>
    <xf xfId="0" fontId="1" numFmtId="0" fillId="2" borderId="7" applyFont="1" applyNumberFormat="0" applyFill="0" applyBorder="1" applyAlignment="0">
      <alignment horizontal="general" vertical="bottom" textRotation="0" wrapText="false" shrinkToFit="false"/>
    </xf>
    <xf xfId="0" fontId="1" numFmtId="0" fillId="2" borderId="8" applyFont="1" applyNumberFormat="0" applyFill="0" applyBorder="1" applyAlignment="0">
      <alignment horizontal="general" vertical="bottom" textRotation="0" wrapText="false" shrinkToFit="false"/>
    </xf>
    <xf xfId="0" fontId="1" numFmtId="0" fillId="2" borderId="9" applyFont="1" applyNumberFormat="0" applyFill="0" applyBorder="1" applyAlignment="0">
      <alignment horizontal="general" vertical="bottom" textRotation="0" wrapText="false" shrinkToFit="false"/>
    </xf>
    <xf xfId="0" fontId="1" numFmtId="0" fillId="2" borderId="10" applyFont="1" applyNumberFormat="0" applyFill="0" applyBorder="1" applyAlignment="0">
      <alignment horizontal="general" vertical="bottom" textRotation="0" wrapText="false" shrinkToFit="false"/>
    </xf>
    <xf xfId="0" fontId="2" numFmtId="0" fillId="2" borderId="10" applyFont="1" applyNumberFormat="0" applyFill="0" applyBorder="1" applyAlignment="0">
      <alignment horizontal="general" vertical="bottom" textRotation="0" wrapText="false" shrinkToFit="false"/>
    </xf>
    <xf xfId="0" fontId="1" numFmtId="0" fillId="2" borderId="11" applyFont="1" applyNumberFormat="0" applyFill="0" applyBorder="1" applyAlignment="0">
      <alignment horizontal="general" vertical="bottom" textRotation="0" wrapText="false" shrinkToFit="false"/>
    </xf>
    <xf xfId="0" fontId="1" numFmtId="0" fillId="2" borderId="12" applyFont="1" applyNumberFormat="0" applyFill="0" applyBorder="1" applyAlignment="0">
      <alignment horizontal="general" vertical="bottom" textRotation="0" wrapText="false" shrinkToFit="false"/>
    </xf>
    <xf xfId="0" fontId="1" numFmtId="0" fillId="2" borderId="13" applyFont="1" applyNumberFormat="0" applyFill="0" applyBorder="1" applyAlignment="0">
      <alignment horizontal="general" vertical="bottom" textRotation="0" wrapText="false" shrinkToFit="false"/>
    </xf>
    <xf xfId="0" fontId="1" numFmtId="0" fillId="2" borderId="14" applyFont="1" applyNumberFormat="0" applyFill="0" applyBorder="1" applyAlignment="0">
      <alignment horizontal="general" vertical="bottom" textRotation="0" wrapText="false" shrinkToFit="false"/>
    </xf>
    <xf xfId="0" fontId="1" numFmtId="0" fillId="2" borderId="15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0">
      <alignment horizontal="general" vertical="bottom" textRotation="0" wrapText="false" shrinkToFit="false"/>
    </xf>
    <xf xfId="0" fontId="1" numFmtId="164" fillId="2" borderId="16" applyFont="1" applyNumberFormat="1" applyFill="0" applyBorder="1" applyAlignment="0">
      <alignment horizontal="general" vertical="bottom" textRotation="0" wrapText="false" shrinkToFit="false"/>
    </xf>
    <xf xfId="0" fontId="1" numFmtId="0" fillId="2" borderId="17" applyFont="1" applyNumberFormat="0" applyFill="0" applyBorder="1" applyAlignment="0">
      <alignment horizontal="general" vertical="bottom" textRotation="0" wrapText="false" shrinkToFit="false"/>
    </xf>
    <xf xfId="0" fontId="3" numFmtId="0" fillId="2" borderId="18" applyFont="1" applyNumberFormat="0" applyFill="0" applyBorder="1" applyAlignment="1">
      <alignment horizontal="general" vertical="bottom" textRotation="90" wrapText="false" shrinkToFit="false"/>
    </xf>
    <xf xfId="0" fontId="3" numFmtId="0" fillId="2" borderId="19" applyFont="1" applyNumberFormat="0" applyFill="0" applyBorder="1" applyAlignment="1">
      <alignment horizontal="general" vertical="bottom" textRotation="90" wrapText="false" shrinkToFit="false"/>
    </xf>
    <xf xfId="0" fontId="3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1" applyFont="1" applyNumberFormat="0" applyFill="0" applyBorder="1" applyAlignment="0">
      <alignment horizontal="general" vertical="bottom" textRotation="0" wrapText="false" shrinkToFit="false"/>
    </xf>
    <xf xfId="0" fontId="1" numFmtId="0" fillId="2" borderId="22" applyFont="1" applyNumberFormat="0" applyFill="0" applyBorder="1" applyAlignment="0">
      <alignment horizontal="general" vertical="bottom" textRotation="0" wrapText="false" shrinkToFit="false"/>
    </xf>
    <xf xfId="0" fontId="3" numFmtId="0" fillId="2" borderId="23" applyFont="1" applyNumberFormat="0" applyFill="0" applyBorder="1" applyAlignment="1">
      <alignment horizontal="general" vertical="bottom" textRotation="90" wrapText="false" shrinkToFit="false"/>
    </xf>
    <xf xfId="0" fontId="3" numFmtId="0" fillId="2" borderId="24" applyFont="1" applyNumberFormat="0" applyFill="0" applyBorder="1" applyAlignment="0">
      <alignment horizontal="general" vertical="bottom" textRotation="0" wrapText="false" shrinkToFit="false"/>
    </xf>
    <xf xfId="0" fontId="3" numFmtId="0" fillId="2" borderId="22" applyFont="1" applyNumberFormat="0" applyFill="0" applyBorder="1" applyAlignment="0">
      <alignment horizontal="general" vertical="bottom" textRotation="0" wrapText="false" shrinkToFit="false"/>
    </xf>
    <xf xfId="0" fontId="1" numFmtId="0" fillId="2" borderId="20" applyFont="1" applyNumberFormat="0" applyFill="0" applyBorder="1" applyAlignment="0">
      <alignment horizontal="general" vertical="bottom" textRotation="0" wrapText="false" shrinkToFit="false"/>
    </xf>
    <xf xfId="0" fontId="1" numFmtId="0" fillId="2" borderId="25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7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29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26" applyFont="1" applyNumberFormat="0" applyFill="0" applyBorder="1" applyAlignment="0">
      <alignment horizontal="general" vertical="bottom" textRotation="0" wrapText="false" shrinkToFit="false"/>
    </xf>
    <xf xfId="0" fontId="1" numFmtId="0" fillId="2" borderId="28" applyFont="1" applyNumberFormat="0" applyFill="0" applyBorder="1" applyAlignment="0">
      <alignment horizontal="general" vertical="bottom" textRotation="0" wrapText="false" shrinkToFit="false"/>
    </xf>
    <xf xfId="0" fontId="1" numFmtId="0" fillId="2" borderId="30" applyFont="1" applyNumberFormat="0" applyFill="0" applyBorder="1" applyAlignment="0">
      <alignment horizontal="general" vertical="bottom" textRotation="0" wrapText="false" shrinkToFit="false"/>
    </xf>
    <xf xfId="0" fontId="1" numFmtId="0" fillId="2" borderId="31" applyFont="1" applyNumberFormat="0" applyFill="0" applyBorder="1" applyAlignment="0">
      <alignment horizontal="general" vertical="bottom" textRotation="0" wrapText="false" shrinkToFit="false"/>
    </xf>
    <xf xfId="0" fontId="1" numFmtId="0" fillId="2" borderId="32" applyFont="1" applyNumberFormat="0" applyFill="0" applyBorder="1" applyAlignment="0">
      <alignment horizontal="general" vertical="bottom" textRotation="0" wrapText="false" shrinkToFit="false"/>
    </xf>
    <xf xfId="0" fontId="1" numFmtId="0" fillId="2" borderId="33" applyFont="1" applyNumberFormat="0" applyFill="0" applyBorder="1" applyAlignment="0">
      <alignment horizontal="general" vertical="bottom" textRotation="0" wrapText="false" shrinkToFit="false"/>
    </xf>
    <xf xfId="0" fontId="1" numFmtId="0" fillId="2" borderId="16" applyFont="1" applyNumberFormat="0" applyFill="0" applyBorder="1" applyAlignment="1">
      <alignment horizontal="center" vertical="center" textRotation="0" wrapText="false" shrinkToFit="false"/>
    </xf>
    <xf xfId="0" fontId="1" numFmtId="0" fillId="4" borderId="25" applyFont="1" applyNumberFormat="0" applyFill="1" applyBorder="1" applyAlignment="0">
      <alignment horizontal="general" vertical="bottom" textRotation="0" wrapText="false" shrinkToFit="false"/>
    </xf>
    <xf xfId="0" fontId="1" numFmtId="0" fillId="4" borderId="26" applyFont="1" applyNumberFormat="0" applyFill="1" applyBorder="1" applyAlignment="0">
      <alignment horizontal="general" vertical="bottom" textRotation="0" wrapText="false" shrinkToFit="false"/>
    </xf>
    <xf xfId="0" fontId="1" numFmtId="0" fillId="4" borderId="31" applyFont="1" applyNumberFormat="0" applyFill="1" applyBorder="1" applyAlignment="0">
      <alignment horizontal="general" vertical="bottom" textRotation="0" wrapText="false" shrinkToFit="false"/>
    </xf>
    <xf xfId="0" fontId="1" numFmtId="0" fillId="4" borderId="29" applyFont="1" applyNumberFormat="0" applyFill="1" applyBorder="1" applyAlignment="0">
      <alignment horizontal="general" vertical="bottom" textRotation="0" wrapText="false" shrinkToFit="false"/>
    </xf>
    <xf xfId="0" fontId="1" numFmtId="0" fillId="4" borderId="30" applyFont="1" applyNumberFormat="0" applyFill="1" applyBorder="1" applyAlignment="0">
      <alignment horizontal="general" vertical="bottom" textRotation="0" wrapText="false" shrinkToFit="false"/>
    </xf>
    <xf xfId="0" fontId="1" numFmtId="0" fillId="4" borderId="33" applyFont="1" applyNumberFormat="0" applyFill="1" applyBorder="1" applyAlignment="0">
      <alignment horizontal="general" vertical="bottom" textRotation="0" wrapText="false" shrinkToFit="false"/>
    </xf>
    <xf xfId="0" fontId="3" numFmtId="0" fillId="2" borderId="13" applyFont="1" applyNumberFormat="0" applyFill="0" applyBorder="1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165" fillId="2" borderId="0" applyFont="0" applyNumberFormat="1" applyFill="0" applyBorder="0" applyAlignment="0">
      <alignment horizontal="general" vertical="bottom" textRotation="0" wrapText="false" shrinkToFit="false"/>
    </xf>
    <xf xfId="0" fontId="0" numFmtId="21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true" shrinkToFit="false"/>
    </xf>
    <xf xfId="0" fontId="0" numFmtId="0" fillId="2" borderId="35" applyFont="0" applyNumberFormat="0" applyFill="0" applyBorder="1" applyAlignment="0">
      <alignment horizontal="general" vertical="bottom" textRotation="0" wrapText="false" shrinkToFit="false"/>
    </xf>
    <xf xfId="0" fontId="0" numFmtId="0" fillId="2" borderId="36" applyFont="0" applyNumberFormat="0" applyFill="0" applyBorder="1" applyAlignment="0">
      <alignment horizontal="general" vertical="bottom" textRotation="0" wrapText="false" shrinkToFit="false"/>
    </xf>
    <xf xfId="0" fontId="0" numFmtId="49" fillId="2" borderId="0" applyFont="0" applyNumberFormat="1" applyFill="0" applyBorder="0" applyAlignment="0">
      <alignment horizontal="general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0" numFmtId="1" fillId="2" borderId="37" applyFont="0" applyNumberFormat="1" applyFill="0" applyBorder="1" applyAlignment="0">
      <alignment horizontal="general" vertical="bottom" textRotation="0" wrapText="false" shrinkToFit="false"/>
    </xf>
    <xf xfId="0" fontId="0" numFmtId="0" fillId="2" borderId="38" applyFont="0" applyNumberFormat="0" applyFill="0" applyBorder="1" applyAlignment="1">
      <alignment horizontal="center" vertical="bottom" textRotation="0" wrapText="true" shrinkToFit="false"/>
    </xf>
    <xf xfId="0" fontId="0" numFmtId="0" fillId="2" borderId="39" applyFont="0" applyNumberFormat="0" applyFill="0" applyBorder="1" applyAlignment="1">
      <alignment horizontal="center" vertical="bottom" textRotation="0" wrapText="false" shrinkToFit="false"/>
    </xf>
    <xf xfId="0" fontId="0" numFmtId="1" fillId="2" borderId="40" applyFont="0" applyNumberFormat="1" applyFill="0" applyBorder="1" applyAlignment="0">
      <alignment horizontal="general" vertical="bottom" textRotation="0" wrapText="false" shrinkToFit="false"/>
    </xf>
    <xf xfId="0" fontId="0" numFmtId="0" fillId="2" borderId="12" applyFont="0" applyNumberFormat="0" applyFill="0" applyBorder="1" applyAlignment="1">
      <alignment horizontal="center" vertical="bottom" textRotation="0" wrapText="true" shrinkToFit="false"/>
    </xf>
    <xf xfId="0" fontId="0" numFmtId="0" fillId="2" borderId="41" applyFont="0" applyNumberFormat="0" applyFill="0" applyBorder="1" applyAlignment="1">
      <alignment horizontal="center" vertical="bottom" textRotation="0" wrapText="true" shrinkToFit="false"/>
    </xf>
    <xf xfId="0" fontId="0" numFmtId="0" fillId="2" borderId="42" applyFont="0" applyNumberFormat="0" applyFill="0" applyBorder="1" applyAlignment="1">
      <alignment horizontal="center" vertical="bottom" textRotation="0" wrapText="tru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numFmtId="0" fillId="5" borderId="36" applyFont="0" applyNumberFormat="0" applyFill="1" applyBorder="1" applyAlignment="1">
      <alignment horizontal="center" vertical="bottom" textRotation="0" wrapText="false" shrinkToFit="false"/>
    </xf>
    <xf xfId="0" fontId="0" numFmtId="0" fillId="5" borderId="43" applyFont="0" applyNumberFormat="0" applyFill="1" applyBorder="1" applyAlignment="1">
      <alignment horizontal="center" vertical="bottom" textRotation="0" wrapText="false" shrinkToFit="false"/>
    </xf>
    <xf xfId="0" fontId="0" numFmtId="0" fillId="4" borderId="43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center" vertical="bottom" textRotation="0" wrapText="false" shrinkToFit="false"/>
    </xf>
    <xf xfId="0" fontId="0" numFmtId="0" fillId="4" borderId="44" applyFont="0" applyNumberFormat="0" applyFill="1" applyBorder="1" applyAlignment="1">
      <alignment horizontal="left" vertical="bottom" textRotation="0" wrapText="false" shrinkToFit="false"/>
    </xf>
    <xf xfId="0" fontId="0" numFmtId="0" fillId="4" borderId="37" applyFont="0" applyNumberFormat="0" applyFill="1" applyBorder="1" applyAlignment="0">
      <alignment horizontal="general" vertical="bottom" textRotation="0" wrapText="false" shrinkToFit="false"/>
    </xf>
    <xf xfId="0" fontId="0" numFmtId="0" fillId="4" borderId="44" applyFont="0" applyNumberFormat="0" applyFill="1" applyBorder="1" applyAlignment="0">
      <alignment horizontal="general" vertical="bottom" textRotation="0" wrapText="false" shrinkToFit="false"/>
    </xf>
    <xf xfId="0" fontId="0" numFmtId="0" fillId="4" borderId="34" applyFont="0" applyNumberFormat="0" applyFill="1" applyBorder="1" applyAlignment="0">
      <alignment horizontal="general" vertical="bottom" textRotation="0" wrapText="false" shrinkToFit="false"/>
    </xf>
    <xf xfId="0" fontId="0" numFmtId="0" fillId="2" borderId="40" applyFont="0" applyNumberFormat="0" applyFill="0" applyBorder="1" applyAlignment="0">
      <alignment horizontal="general" vertical="bottom" textRotation="0" wrapText="false" shrinkToFit="false"/>
    </xf>
    <xf xfId="0" fontId="0" numFmtId="0" fillId="2" borderId="45" applyFont="0" applyNumberFormat="0" applyFill="0" applyBorder="1" applyAlignment="0">
      <alignment horizontal="general" vertical="bottom" textRotation="0" wrapText="false" shrinkToFit="false"/>
    </xf>
    <xf xfId="0" fontId="0" numFmtId="2" fillId="2" borderId="45" applyFont="0" applyNumberFormat="1" applyFill="0" applyBorder="1" applyAlignment="1">
      <alignment horizontal="center" vertical="bottom" textRotation="0" wrapText="false" shrinkToFit="false"/>
    </xf>
    <xf xfId="0" fontId="0" numFmtId="0" fillId="2" borderId="46" applyFont="0" applyNumberFormat="0" applyFill="0" applyBorder="1" applyAlignment="0">
      <alignment horizontal="general" vertical="bottom" textRotation="0" wrapText="false" shrinkToFit="false"/>
    </xf>
    <xf xfId="0" fontId="0" numFmtId="0" fillId="2" borderId="47" applyFont="0" applyNumberFormat="0" applyFill="0" applyBorder="1" applyAlignment="0">
      <alignment horizontal="general" vertical="bottom" textRotation="0" wrapText="false" shrinkToFit="false"/>
    </xf>
    <xf xfId="0" fontId="0" numFmtId="0" fillId="2" borderId="48" applyFont="0" applyNumberFormat="0" applyFill="0" applyBorder="1" applyAlignment="0">
      <alignment horizontal="general" vertical="bottom" textRotation="0" wrapText="false" shrinkToFit="false"/>
    </xf>
    <xf xfId="0" fontId="0" numFmtId="0" fillId="4" borderId="36" applyFont="0" applyNumberFormat="0" applyFill="1" applyBorder="1" applyAlignment="0">
      <alignment horizontal="general" vertical="bottom" textRotation="0" wrapText="false" shrinkToFit="false"/>
    </xf>
    <xf xfId="0" fontId="0" numFmtId="0" fillId="4" borderId="43" applyFont="0" applyNumberFormat="0" applyFill="1" applyBorder="1" applyAlignment="0">
      <alignment horizontal="general" vertical="bottom" textRotation="0" wrapText="false" shrinkToFit="false"/>
    </xf>
    <xf xfId="0" fontId="0" numFmtId="0" fillId="4" borderId="39" applyFont="0" applyNumberFormat="0" applyFill="1" applyBorder="1" applyAlignment="0">
      <alignment horizontal="general" vertical="bottom" textRotation="0" wrapText="false" shrinkToFit="false"/>
    </xf>
    <xf xfId="0" fontId="0" numFmtId="0" fillId="2" borderId="37" applyFont="0" applyNumberFormat="0" applyFill="0" applyBorder="1" applyAlignment="1">
      <alignment horizontal="center" vertical="bottom" textRotation="0" wrapText="true" shrinkToFit="false"/>
    </xf>
    <xf xfId="0" fontId="0" numFmtId="0" fillId="2" borderId="44" applyFont="0" applyNumberFormat="0" applyFill="0" applyBorder="1" applyAlignment="1">
      <alignment horizontal="center" vertical="bottom" textRotation="0" wrapText="false" shrinkToFit="false"/>
    </xf>
    <xf xfId="0" fontId="0" numFmtId="0" fillId="2" borderId="44" applyFont="0" applyNumberFormat="0" applyFill="0" applyBorder="1" applyAlignment="1">
      <alignment horizontal="center" vertical="bottom" textRotation="0" wrapText="true" shrinkToFit="false"/>
    </xf>
    <xf xfId="0" fontId="0" numFmtId="0" fillId="4" borderId="40" applyFont="0" applyNumberFormat="0" applyFill="1" applyBorder="1" applyAlignment="0">
      <alignment horizontal="general" vertical="bottom" textRotation="0" wrapText="false" shrinkToFit="false"/>
    </xf>
    <xf xfId="0" fontId="0" numFmtId="0" fillId="4" borderId="45" applyFont="0" applyNumberFormat="0" applyFill="1" applyBorder="1" applyAlignment="0">
      <alignment horizontal="general" vertical="bottom" textRotation="0" wrapText="false" shrinkToFit="false"/>
    </xf>
    <xf xfId="0" fontId="0" numFmtId="0" fillId="4" borderId="35" applyFont="0" applyNumberFormat="0" applyFill="1" applyBorder="1" applyAlignment="0">
      <alignment horizontal="general" vertical="bottom" textRotation="0" wrapText="false" shrinkToFit="false"/>
    </xf>
    <xf xfId="0" fontId="0" numFmtId="2" fillId="2" borderId="44" applyFont="0" applyNumberFormat="1" applyFill="0" applyBorder="1" applyAlignment="1">
      <alignment horizontal="left" vertical="bottom" textRotation="0" wrapText="false" shrinkToFit="false"/>
    </xf>
    <xf xfId="0" fontId="0" numFmtId="0" fillId="2" borderId="34" applyFont="0" applyNumberFormat="0" applyFill="0" applyBorder="1" applyAlignment="1">
      <alignment horizontal="center" vertical="bottom" textRotation="0" wrapText="false" shrinkToFit="false"/>
    </xf>
    <xf xfId="0" fontId="4" numFmtId="0" fillId="2" borderId="43" applyFont="1" applyNumberFormat="0" applyFill="0" applyBorder="1" applyAlignment="1">
      <alignment horizontal="left" vertical="bottom" textRotation="0" wrapText="false" shrinkToFit="false"/>
    </xf>
    <xf xfId="0" fontId="4" numFmtId="0" fillId="2" borderId="43" applyFont="1" applyNumberFormat="0" applyFill="0" applyBorder="1" applyAlignment="1">
      <alignment horizontal="center" vertical="bottom" textRotation="0" wrapText="false" shrinkToFit="false"/>
    </xf>
    <xf xfId="0" fontId="4" numFmtId="0" fillId="2" borderId="39" applyFont="1" applyNumberFormat="0" applyFill="0" applyBorder="1" applyAlignment="1">
      <alignment horizontal="center" vertical="bottom" textRotation="0" wrapText="false" shrinkToFit="false"/>
    </xf>
    <xf xfId="0" fontId="0" numFmtId="2" fillId="2" borderId="45" applyFont="0" applyNumberFormat="1" applyFill="0" applyBorder="1" applyAlignment="1">
      <alignment horizontal="left" vertical="bottom" textRotation="0" wrapText="false" shrinkToFit="false"/>
    </xf>
    <xf xfId="0" fontId="0" numFmtId="0" fillId="2" borderId="45" applyFont="0" applyNumberFormat="0" applyFill="0" applyBorder="1" applyAlignment="1">
      <alignment horizontal="center" vertical="bottom" textRotation="0" wrapText="false" shrinkToFit="false"/>
    </xf>
    <xf xfId="0" fontId="0" numFmtId="0" fillId="2" borderId="35" applyFont="0" applyNumberFormat="0" applyFill="0" applyBorder="1" applyAlignment="1">
      <alignment horizontal="center" vertical="bottom" textRotation="0" wrapText="false" shrinkToFit="false"/>
    </xf>
    <xf xfId="0" fontId="5" numFmtId="166" fillId="2" borderId="13" applyFont="1" applyNumberFormat="1" applyFill="0" applyBorder="1" applyAlignment="1">
      <alignment horizontal="center" vertical="bottom" textRotation="0" wrapText="false" shrinkToFit="false"/>
    </xf>
    <xf xfId="0" fontId="1" numFmtId="167" fillId="2" borderId="0" applyFont="1" applyNumberFormat="1" applyFill="0" applyBorder="0" applyAlignment="0">
      <alignment horizontal="general" vertical="bottom" textRotation="0" wrapText="false" shrinkToFit="false"/>
    </xf>
    <xf xfId="0" fontId="0" numFmtId="168" fillId="2" borderId="0" applyFont="0" applyNumberFormat="1" applyFill="0" applyBorder="0" applyAlignment="0">
      <alignment horizontal="general" vertical="bottom" textRotation="0" wrapText="fals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microsoft.com/office/2006/relationships/vbaProject" Target="vbaProject.bin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1.png"/></Relationship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85725</xdr:colOff>
      <xdr:row>3</xdr:row>
      <xdr:rowOff>85725</xdr:rowOff>
    </xdr:from>
    <xdr:ext cx="933450" cy="466725"/>
    <xdr:pic>
      <xdr:nvPicPr>
        <xdr:cNvPr id="1" name="Picture 2" descr="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0"/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X2"/>
  <sheetViews>
    <sheetView tabSelected="1" workbookViewId="0" showGridLines="true" showRowColHeaders="1">
      <selection activeCell="U2" sqref="U2"/>
    </sheetView>
  </sheetViews>
  <sheetFormatPr defaultRowHeight="14.4" outlineLevelRow="0" outlineLevelCol="0"/>
  <cols>
    <col min="1" max="1" width="4" customWidth="true" style="52"/>
    <col min="2" max="2" width="9.28515625" customWidth="true" style="52"/>
    <col min="3" max="3" width="18.7109375" customWidth="true" style="52"/>
    <col min="4" max="4" width="25.85546875" customWidth="true" style="52"/>
    <col min="5" max="5" width="11.5703125" customWidth="true" style="52"/>
    <col min="6" max="6" width="18" customWidth="true" style="52"/>
    <col min="7" max="7" width="7.85546875" customWidth="true" style="52"/>
    <col min="8" max="8" width="11.85546875" customWidth="true" style="52"/>
    <col min="9" max="9" width="15" customWidth="true" style="52"/>
    <col min="10" max="10" width="5.85546875" customWidth="true" style="52"/>
    <col min="11" max="11" width="9.5703125" customWidth="true" style="52"/>
    <col min="12" max="12" width="8.140625" customWidth="true" style="52"/>
    <col min="13" max="13" width="6.28515625" customWidth="true" style="52"/>
    <col min="14" max="14" width="10.42578125" customWidth="true" style="52"/>
    <col min="15" max="15" width="10.42578125" customWidth="true" style="52"/>
    <col min="16" max="16" width="10.140625" customWidth="true" style="52"/>
    <col min="17" max="17" width="9.5703125" customWidth="true" style="52"/>
    <col min="18" max="18" width="6" customWidth="true" style="52"/>
    <col min="19" max="19" width="12" customWidth="true" style="52"/>
    <col min="20" max="20" width="11.42578125" customWidth="true" style="52"/>
    <col min="21" max="21" width="18" customWidth="true" style="52"/>
    <col min="22" max="22" width="12.7109375" customWidth="true" style="52"/>
    <col min="23" max="23" width="9.140625" customWidth="true" style="52"/>
    <col min="24" max="24" width="9.140625" customWidth="true" style="52"/>
  </cols>
  <sheetData>
    <row r="1" spans="1:24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</row>
    <row r="2" spans="1:24">
      <c r="A2" s="52">
        <v>24584</v>
      </c>
      <c r="B2" s="52">
        <v>740</v>
      </c>
      <c r="C2" s="52" t="s">
        <v>22</v>
      </c>
      <c r="D2" s="52" t="s">
        <v>23</v>
      </c>
      <c r="E2" s="52">
        <v>1</v>
      </c>
      <c r="F2" s="52">
        <v>0</v>
      </c>
      <c r="G2" s="53" t="s">
        <v>24</v>
      </c>
      <c r="H2" s="53" t="s">
        <v>25</v>
      </c>
      <c r="I2" s="53"/>
      <c r="J2" s="53" t="s">
        <v>24</v>
      </c>
      <c r="K2" s="54">
        <v>2</v>
      </c>
      <c r="L2" s="58">
        <v>511</v>
      </c>
      <c r="M2" s="52" t="s">
        <v>26</v>
      </c>
      <c r="N2" s="102">
        <v>43770</v>
      </c>
      <c r="O2" s="102">
        <v>43799</v>
      </c>
      <c r="P2" s="54">
        <v>25569</v>
      </c>
      <c r="Q2" s="54">
        <v>25569.99998842593</v>
      </c>
      <c r="R2" s="54" t="s">
        <v>27</v>
      </c>
      <c r="S2" s="53">
        <v>0</v>
      </c>
      <c r="T2" s="102">
        <v>43709</v>
      </c>
      <c r="U2" s="102">
        <v>43799.99998842592</v>
      </c>
      <c r="V2" s="52" t="s">
        <v>28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F26"/>
  <sheetViews>
    <sheetView tabSelected="0" workbookViewId="0" showGridLines="true" showRowColHeaders="1">
      <selection activeCell="F31" sqref="F31"/>
    </sheetView>
  </sheetViews>
  <sheetFormatPr defaultRowHeight="14.4" outlineLevelRow="0" outlineLevelCol="0"/>
  <cols>
    <col min="1" max="1" width="2.140625" customWidth="true" style="0"/>
    <col min="2" max="2" width="4" customWidth="true" style="0"/>
    <col min="3" max="3" width="25.7109375" customWidth="true" style="0"/>
    <col min="4" max="4" width="25.7109375" customWidth="true" style="0"/>
    <col min="5" max="5" width="3.5703125" customWidth="true" style="0"/>
    <col min="6" max="6" width="25.7109375" customWidth="true" style="0"/>
  </cols>
  <sheetData>
    <row r="1" spans="1:6" customHeight="1" ht="15.75"/>
    <row r="2" spans="1:6">
      <c r="B2" s="68" t="s">
        <v>29</v>
      </c>
      <c r="C2" s="69"/>
      <c r="D2" s="70" t="s">
        <v>30</v>
      </c>
      <c r="E2" s="70"/>
      <c r="F2" s="62"/>
    </row>
    <row r="3" spans="1:6">
      <c r="B3" s="71"/>
      <c r="C3" s="72"/>
      <c r="D3" s="73" t="s">
        <v>31</v>
      </c>
      <c r="E3" s="73"/>
      <c r="F3" s="59" t="s">
        <v>32</v>
      </c>
    </row>
    <row r="4" spans="1:6">
      <c r="B4" s="74" t="s">
        <v>33</v>
      </c>
      <c r="C4" s="75"/>
      <c r="D4" s="75"/>
      <c r="E4" s="75"/>
      <c r="F4" s="76"/>
    </row>
    <row r="5" spans="1:6">
      <c r="B5" s="74" t="s">
        <v>34</v>
      </c>
      <c r="C5" s="75"/>
      <c r="D5" s="75"/>
      <c r="E5" s="75"/>
      <c r="F5" s="76"/>
    </row>
    <row r="6" spans="1:6" customHeight="1" ht="15.75">
      <c r="B6" s="77" t="s">
        <v>35</v>
      </c>
      <c r="C6" s="78"/>
      <c r="D6" s="79"/>
      <c r="E6" s="79"/>
      <c r="F6" s="56"/>
    </row>
    <row r="7" spans="1:6" customHeight="1" ht="15.75">
      <c r="B7" s="80"/>
      <c r="C7" s="81"/>
      <c r="D7" s="81"/>
      <c r="E7" s="81"/>
      <c r="F7" s="82"/>
    </row>
    <row r="8" spans="1:6">
      <c r="B8" s="83" t="s">
        <v>36</v>
      </c>
      <c r="C8" s="84"/>
      <c r="D8" s="84"/>
      <c r="E8" s="84"/>
      <c r="F8" s="85"/>
    </row>
    <row r="9" spans="1:6" customHeight="1" ht="30">
      <c r="B9" s="86" t="s">
        <v>37</v>
      </c>
      <c r="C9" s="87"/>
      <c r="D9" s="88" t="s">
        <v>38</v>
      </c>
      <c r="E9" s="87"/>
      <c r="F9" s="55" t="s">
        <v>39</v>
      </c>
    </row>
    <row r="10" spans="1:6" customHeight="1" ht="30" hidden="true">
      <c r="B10" s="64"/>
      <c r="C10" s="65"/>
      <c r="D10" s="66">
        <v>90</v>
      </c>
      <c r="E10" s="65"/>
      <c r="F10" s="61">
        <v>80</v>
      </c>
    </row>
    <row r="11" spans="1:6" customHeight="1" ht="30" hidden="true">
      <c r="B11" s="64">
        <v>4</v>
      </c>
      <c r="C11" s="65"/>
      <c r="D11" s="66">
        <v>2</v>
      </c>
      <c r="E11" s="65"/>
      <c r="F11" s="61">
        <v>0</v>
      </c>
    </row>
    <row r="12" spans="1:6" customHeight="1" ht="15.75">
      <c r="B12" s="89" t="s">
        <v>40</v>
      </c>
      <c r="C12" s="90"/>
      <c r="D12" s="90"/>
      <c r="E12" s="90"/>
      <c r="F12" s="91"/>
    </row>
    <row r="13" spans="1:6" customHeight="1" ht="15.75">
      <c r="B13" s="67"/>
      <c r="C13" s="67"/>
      <c r="D13" s="67"/>
      <c r="E13" s="67"/>
      <c r="F13" s="67"/>
    </row>
    <row r="14" spans="1:6">
      <c r="B14" s="57"/>
      <c r="C14" s="94" t="s">
        <v>41</v>
      </c>
      <c r="D14" s="94"/>
      <c r="E14" s="95" t="s">
        <v>42</v>
      </c>
      <c r="F14" s="96"/>
    </row>
    <row r="15" spans="1:6">
      <c r="B15" s="60">
        <v>1</v>
      </c>
      <c r="C15" s="92"/>
      <c r="D15" s="92"/>
      <c r="E15" s="87" t="str">
        <f>IF(C15&lt;$F$10,$F$11,IF(C15&lt;$D$10,$D$11,$B$11))</f>
        <v>0</v>
      </c>
      <c r="F15" s="93"/>
    </row>
    <row r="16" spans="1:6">
      <c r="B16" s="60">
        <v>2</v>
      </c>
      <c r="C16" s="92"/>
      <c r="D16" s="92"/>
      <c r="E16" s="87" t="str">
        <f>IF(C16&lt;$F$10,$F$11,IF(C16&lt;$D$10,$D$11,$B$11))</f>
        <v>0</v>
      </c>
      <c r="F16" s="93"/>
    </row>
    <row r="17" spans="1:6">
      <c r="B17" s="60">
        <v>3</v>
      </c>
      <c r="C17" s="92"/>
      <c r="D17" s="92"/>
      <c r="E17" s="87" t="str">
        <f>IF(C17&lt;$F$10,$F$11,IF(C17&lt;$D$10,$D$11,$B$11))</f>
        <v>0</v>
      </c>
      <c r="F17" s="93"/>
    </row>
    <row r="18" spans="1:6">
      <c r="B18" s="60">
        <v>4</v>
      </c>
      <c r="C18" s="92"/>
      <c r="D18" s="92"/>
      <c r="E18" s="87" t="str">
        <f>IF(C18&lt;$F$10,$F$11,IF(C18&lt;$D$10,$D$11,$B$11))</f>
        <v>0</v>
      </c>
      <c r="F18" s="93"/>
    </row>
    <row r="19" spans="1:6">
      <c r="B19" s="60">
        <v>5</v>
      </c>
      <c r="C19" s="92"/>
      <c r="D19" s="92"/>
      <c r="E19" s="87" t="str">
        <f>IF(C19&lt;$F$10,$F$11,IF(C19&lt;$D$10,$D$11,$B$11))</f>
        <v>0</v>
      </c>
      <c r="F19" s="93"/>
    </row>
    <row r="20" spans="1:6">
      <c r="B20" s="60">
        <v>6</v>
      </c>
      <c r="C20" s="92"/>
      <c r="D20" s="92"/>
      <c r="E20" s="87" t="str">
        <f>IF(C20&lt;$F$10,$F$11,IF(C20&lt;$D$10,$D$11,$B$11))</f>
        <v>0</v>
      </c>
      <c r="F20" s="93"/>
    </row>
    <row r="21" spans="1:6">
      <c r="B21" s="60">
        <v>7</v>
      </c>
      <c r="C21" s="92"/>
      <c r="D21" s="92"/>
      <c r="E21" s="87" t="str">
        <f>IF(C21&lt;$F$10,$F$11,IF(C21&lt;$D$10,$D$11,$B$11))</f>
        <v>0</v>
      </c>
      <c r="F21" s="93"/>
    </row>
    <row r="22" spans="1:6">
      <c r="B22" s="60">
        <v>8</v>
      </c>
      <c r="C22" s="92"/>
      <c r="D22" s="92"/>
      <c r="E22" s="87" t="str">
        <f>IF(C22&lt;$F$10,$F$11,IF(C22&lt;$D$10,$D$11,$B$11))</f>
        <v>0</v>
      </c>
      <c r="F22" s="93"/>
    </row>
    <row r="23" spans="1:6">
      <c r="B23" s="60">
        <v>9</v>
      </c>
      <c r="C23" s="92"/>
      <c r="D23" s="92"/>
      <c r="E23" s="87" t="str">
        <f>IF(C23&lt;$F$10,$F$11,IF(C23&lt;$D$10,$D$11,$B$11))</f>
        <v>0</v>
      </c>
      <c r="F23" s="93"/>
    </row>
    <row r="24" spans="1:6">
      <c r="B24" s="60">
        <v>10</v>
      </c>
      <c r="C24" s="92"/>
      <c r="D24" s="92"/>
      <c r="E24" s="87" t="str">
        <f>IF(C24&lt;$F$10,$F$11,IF(C24&lt;$D$10,$D$11,$B$11))</f>
        <v>0</v>
      </c>
      <c r="F24" s="93"/>
    </row>
    <row r="25" spans="1:6">
      <c r="B25" s="60">
        <v>11</v>
      </c>
      <c r="C25" s="92"/>
      <c r="D25" s="92"/>
      <c r="E25" s="87" t="str">
        <f>IF(C25&lt;$F$10,$F$11,IF(C25&lt;$D$10,$D$11,$B$11))</f>
        <v>0</v>
      </c>
      <c r="F25" s="93"/>
    </row>
    <row r="26" spans="1:6" customHeight="1" ht="15.75">
      <c r="B26" s="63">
        <v>12</v>
      </c>
      <c r="C26" s="97"/>
      <c r="D26" s="97"/>
      <c r="E26" s="98" t="str">
        <f>IF(C26&lt;$F$10,$F$11,IF(C26&lt;$D$10,$D$11,$B$11))</f>
        <v>0</v>
      </c>
      <c r="F26" s="9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C26:D26"/>
    <mergeCell ref="E26:F26"/>
    <mergeCell ref="C23:D23"/>
    <mergeCell ref="E23:F23"/>
    <mergeCell ref="C24:D24"/>
    <mergeCell ref="E24:F24"/>
    <mergeCell ref="C21:D21"/>
    <mergeCell ref="E21:F21"/>
    <mergeCell ref="C22:D22"/>
    <mergeCell ref="E22:F22"/>
    <mergeCell ref="C25:D25"/>
    <mergeCell ref="E25:F25"/>
    <mergeCell ref="B11:C11"/>
    <mergeCell ref="D11:E11"/>
    <mergeCell ref="C19:D19"/>
    <mergeCell ref="E19:F19"/>
    <mergeCell ref="C20:D20"/>
    <mergeCell ref="E20:F20"/>
    <mergeCell ref="C14:D14"/>
    <mergeCell ref="E14:F14"/>
    <mergeCell ref="C15:D15"/>
    <mergeCell ref="E15:F15"/>
    <mergeCell ref="C16:D16"/>
    <mergeCell ref="E16:F16"/>
    <mergeCell ref="C17:D17"/>
    <mergeCell ref="E17:F17"/>
    <mergeCell ref="C18:D18"/>
    <mergeCell ref="E18:F18"/>
    <mergeCell ref="B10:C10"/>
    <mergeCell ref="D10:E10"/>
    <mergeCell ref="B13:F13"/>
    <mergeCell ref="B2:C2"/>
    <mergeCell ref="D2:E2"/>
    <mergeCell ref="B3:C3"/>
    <mergeCell ref="D3:E3"/>
    <mergeCell ref="B4:F4"/>
    <mergeCell ref="B6:C6"/>
    <mergeCell ref="D6:E6"/>
    <mergeCell ref="B5:F5"/>
    <mergeCell ref="B7:F7"/>
    <mergeCell ref="B8:F8"/>
    <mergeCell ref="B9:C9"/>
    <mergeCell ref="D9:E9"/>
    <mergeCell ref="B12:F12"/>
  </mergeCells>
  <printOptions gridLines="false" gridLinesSet="true"/>
  <pageMargins left="0.7" right="0.7" top="0.75" bottom="0.75" header="0.3" footer="0.3"/>
  <pageSetup paperSize="9" orientation="portrai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C31"/>
  <sheetViews>
    <sheetView tabSelected="0" workbookViewId="0" showGridLines="true" showRowColHeaders="1">
      <selection activeCell="D13" sqref="D13"/>
    </sheetView>
  </sheetViews>
  <sheetFormatPr defaultRowHeight="14.4" outlineLevelRow="0" outlineLevelCol="0"/>
  <cols>
    <col min="1" max="1" width="7.85546875" hidden="true" customWidth="true" style="1"/>
    <col min="2" max="2" width="6.5703125" hidden="true" customWidth="true" style="1"/>
    <col min="3" max="3" width="15.5703125" hidden="true" customWidth="true" style="1"/>
    <col min="4" max="4" width="15.5703125" hidden="true" customWidth="true" style="1"/>
    <col min="5" max="5" width="3.5703125" customWidth="true" style="1"/>
    <col min="6" max="6" width="5" customWidth="true" style="1"/>
    <col min="7" max="7" width="5.5703125" customWidth="true" style="1"/>
    <col min="8" max="8" width="5.5703125" customWidth="true" style="1"/>
    <col min="9" max="9" width="5.5703125" customWidth="true" style="1"/>
    <col min="10" max="10" width="5.5703125" customWidth="true" style="1"/>
    <col min="11" max="11" width="5.5703125" customWidth="true" style="1"/>
    <col min="12" max="12" width="5.5703125" customWidth="true" style="1"/>
    <col min="13" max="13" width="5.5703125" customWidth="true" style="1"/>
    <col min="14" max="14" width="5.5703125" customWidth="true" style="1"/>
    <col min="15" max="15" width="5.5703125" customWidth="true" style="1"/>
    <col min="16" max="16" width="5.5703125" customWidth="true" style="1"/>
    <col min="17" max="17" width="5.5703125" customWidth="true" style="1"/>
    <col min="18" max="18" width="5.5703125" customWidth="true" style="1"/>
    <col min="19" max="19" width="5.5703125" customWidth="true" style="1"/>
    <col min="20" max="20" width="5.5703125" customWidth="true" style="1"/>
    <col min="21" max="21" width="5.5703125" customWidth="true" style="1"/>
    <col min="22" max="22" width="5.5703125" customWidth="true" style="1"/>
    <col min="23" max="23" width="5.5703125" customWidth="true" style="1"/>
    <col min="24" max="24" width="5.5703125" customWidth="true" style="1"/>
    <col min="25" max="25" width="5.5703125" customWidth="true" style="1"/>
    <col min="26" max="26" width="5.5703125" customWidth="true" style="1"/>
    <col min="27" max="27" width="9.42578125" customWidth="true" style="1"/>
    <col min="28" max="28" width="9.140625" customWidth="true" style="1"/>
  </cols>
  <sheetData>
    <row r="1" spans="1:29" hidden="true">
      <c r="A1" s="1" t="s">
        <v>43</v>
      </c>
      <c r="B1" s="1" t="s">
        <v>44</v>
      </c>
      <c r="C1" s="1" t="s">
        <v>45</v>
      </c>
      <c r="D1" s="1" t="s">
        <v>46</v>
      </c>
      <c r="E1" s="1"/>
      <c r="F1" s="1" t="s">
        <v>47</v>
      </c>
      <c r="G1" s="1" t="s">
        <v>48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49</v>
      </c>
      <c r="AA1" s="1"/>
      <c r="AB1" s="1"/>
      <c r="AC1"/>
    </row>
    <row r="2" spans="1:29" hidden="true">
      <c r="A2" s="1" t="s">
        <v>50</v>
      </c>
      <c r="V2" s="1" t="s">
        <v>51</v>
      </c>
    </row>
    <row r="3" spans="1:29" customHeight="1" ht="8.25">
      <c r="A3" s="1"/>
    </row>
    <row r="4" spans="1:29" customHeight="1" ht="18.75">
      <c r="A4" s="1"/>
      <c r="F4" s="12"/>
      <c r="G4" s="13" t="str">
        <f>IF(REPDEF!E2=1,"Availability Reporting",IF(REPDEF!E2=2,"Operationality Reporting","AMS Mode Reporting"))</f>
        <v>0</v>
      </c>
      <c r="H4" s="13"/>
      <c r="I4" s="13"/>
      <c r="J4" s="13"/>
      <c r="K4" s="14" t="str">
        <f>REPDEF!C2</f>
        <v>0</v>
      </c>
      <c r="L4" s="13"/>
      <c r="M4" s="13"/>
      <c r="N4" s="13"/>
      <c r="O4" s="13"/>
      <c r="P4" s="13"/>
      <c r="Q4" s="13"/>
      <c r="R4" s="13"/>
      <c r="S4" s="13"/>
      <c r="T4" s="13"/>
      <c r="U4" s="13"/>
      <c r="V4" s="7"/>
      <c r="W4" s="3"/>
      <c r="X4" s="4"/>
      <c r="Y4" s="13"/>
      <c r="Z4" s="15"/>
    </row>
    <row r="5" spans="1:29" customHeight="1" ht="15.75">
      <c r="A5" s="1"/>
      <c r="F5" s="16"/>
      <c r="G5" s="17"/>
      <c r="H5" s="17"/>
      <c r="I5" s="17"/>
      <c r="J5" s="17"/>
      <c r="K5" s="100" t="str">
        <f>REPDEF!T2</f>
        <v>0</v>
      </c>
      <c r="L5" s="100"/>
      <c r="M5" s="51" t="s">
        <v>52</v>
      </c>
      <c r="N5" s="100" t="str">
        <f>REPDEF!U2</f>
        <v>0</v>
      </c>
      <c r="O5" s="100"/>
      <c r="P5" s="17"/>
      <c r="Q5" s="17"/>
      <c r="R5" s="17"/>
      <c r="S5" s="17"/>
      <c r="T5" s="17"/>
      <c r="U5" s="17"/>
      <c r="V5" s="8"/>
      <c r="W5" s="2"/>
      <c r="X5" s="9"/>
      <c r="Y5" s="17"/>
      <c r="Z5" s="18"/>
    </row>
    <row r="6" spans="1:29" customHeight="1" ht="15.75">
      <c r="A6" s="1"/>
      <c r="F6" s="19"/>
      <c r="G6" s="20" t="s">
        <v>53</v>
      </c>
      <c r="H6" s="20"/>
      <c r="I6" s="20" t="str">
        <f>REPDEF!G2</f>
        <v>0</v>
      </c>
      <c r="J6" s="20"/>
      <c r="K6" s="20"/>
      <c r="L6" s="21" t="str">
        <f>REPDEF!P2</f>
        <v>0</v>
      </c>
      <c r="M6" s="44" t="s">
        <v>52</v>
      </c>
      <c r="N6" s="21" t="str">
        <f>REPDEF!Q2</f>
        <v>0</v>
      </c>
      <c r="O6" s="20"/>
      <c r="P6" s="20"/>
      <c r="Q6" s="20"/>
      <c r="R6" s="20"/>
      <c r="S6" s="20"/>
      <c r="T6" s="20"/>
      <c r="U6" s="20"/>
      <c r="V6" s="10"/>
      <c r="W6" s="5"/>
      <c r="X6" s="11"/>
      <c r="Y6" s="20"/>
      <c r="Z6" s="22"/>
    </row>
    <row r="7" spans="1:29" customHeight="1" ht="5.2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9" customHeight="1" ht="122.1">
      <c r="A8" s="1" t="s">
        <v>54</v>
      </c>
      <c r="F8" s="29" t="s">
        <v>55</v>
      </c>
      <c r="G8" s="28" t="s">
        <v>56</v>
      </c>
      <c r="H8" s="23" t="s">
        <v>57</v>
      </c>
      <c r="I8" s="23" t="s">
        <v>58</v>
      </c>
      <c r="J8" s="23" t="s">
        <v>59</v>
      </c>
      <c r="K8" s="23" t="s">
        <v>60</v>
      </c>
      <c r="L8" s="23" t="s">
        <v>61</v>
      </c>
      <c r="M8" s="23" t="s">
        <v>62</v>
      </c>
      <c r="N8" s="23" t="s">
        <v>63</v>
      </c>
      <c r="O8" s="23" t="s">
        <v>64</v>
      </c>
      <c r="P8" s="23" t="s">
        <v>65</v>
      </c>
      <c r="Q8" s="23" t="s">
        <v>66</v>
      </c>
      <c r="R8" s="23" t="s">
        <v>67</v>
      </c>
      <c r="S8" s="23" t="s">
        <v>68</v>
      </c>
      <c r="T8" s="23" t="s">
        <v>69</v>
      </c>
      <c r="U8" s="23" t="s">
        <v>70</v>
      </c>
      <c r="V8" s="23" t="s">
        <v>71</v>
      </c>
      <c r="W8" s="23"/>
      <c r="X8" s="23"/>
      <c r="Y8" s="23"/>
      <c r="Z8" s="24"/>
    </row>
    <row r="9" spans="1:29" hidden="true">
      <c r="A9" s="1" t="s">
        <v>72</v>
      </c>
      <c r="F9" s="25" t="s">
        <v>72</v>
      </c>
      <c r="G9" s="45">
        <v>98</v>
      </c>
      <c r="H9" s="46">
        <v>98</v>
      </c>
      <c r="I9" s="46">
        <v>98</v>
      </c>
      <c r="J9" s="46">
        <v>98</v>
      </c>
      <c r="K9" s="46">
        <v>98</v>
      </c>
      <c r="L9" s="46">
        <v>98</v>
      </c>
      <c r="M9" s="46"/>
      <c r="N9" s="46">
        <v>98</v>
      </c>
      <c r="O9" s="46">
        <v>98</v>
      </c>
      <c r="P9" s="46">
        <v>98</v>
      </c>
      <c r="Q9" s="46"/>
      <c r="R9" s="46">
        <v>98</v>
      </c>
      <c r="S9" s="46"/>
      <c r="T9" s="46"/>
      <c r="U9" s="46"/>
      <c r="V9" s="46">
        <v>90</v>
      </c>
      <c r="W9" s="46"/>
      <c r="X9" s="46"/>
      <c r="Y9" s="46"/>
      <c r="Z9" s="47"/>
    </row>
    <row r="10" spans="1:29" customHeight="1" ht="15.75" hidden="true">
      <c r="A10" s="1" t="s">
        <v>73</v>
      </c>
      <c r="F10" s="30" t="s">
        <v>74</v>
      </c>
      <c r="G10" s="48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50"/>
    </row>
    <row r="11" spans="1:29">
      <c r="A11" s="1" t="s">
        <v>75</v>
      </c>
      <c r="B11" s="1">
        <v>0</v>
      </c>
      <c r="C11" s="101">
        <v>43709</v>
      </c>
      <c r="D11" s="101">
        <v>43739</v>
      </c>
      <c r="F11" s="31">
        <v>9</v>
      </c>
      <c r="G11" s="32">
        <v>100</v>
      </c>
      <c r="H11" s="33">
        <v>100</v>
      </c>
      <c r="I11" s="33">
        <v>100</v>
      </c>
      <c r="J11" s="33">
        <v>100</v>
      </c>
      <c r="K11" s="33">
        <v>100</v>
      </c>
      <c r="L11" s="33">
        <v>24.4385</v>
      </c>
      <c r="M11" s="33">
        <v>100</v>
      </c>
      <c r="N11" s="33">
        <v>0.001</v>
      </c>
      <c r="O11" s="33">
        <v>100</v>
      </c>
      <c r="P11" s="33">
        <v>100</v>
      </c>
      <c r="Q11" s="33">
        <v>95.9973</v>
      </c>
      <c r="R11" s="33">
        <v>95.9734</v>
      </c>
      <c r="S11" s="38">
        <v>95.9915</v>
      </c>
      <c r="T11" s="38">
        <v>92.1639</v>
      </c>
      <c r="U11" s="33">
        <v>92.1482</v>
      </c>
      <c r="V11" s="33">
        <v>86.44758487654325</v>
      </c>
      <c r="W11" s="33"/>
      <c r="X11" s="33"/>
      <c r="Y11" s="33"/>
      <c r="Z11" s="41"/>
    </row>
    <row r="12" spans="1:29">
      <c r="A12" s="1"/>
      <c r="B12" s="1">
        <v>1</v>
      </c>
      <c r="C12" s="101">
        <v>43739</v>
      </c>
      <c r="D12" s="101">
        <v>43769.99998842592</v>
      </c>
      <c r="F12" s="26">
        <v>10</v>
      </c>
      <c r="G12" s="34">
        <v>100</v>
      </c>
      <c r="H12" s="35">
        <v>100</v>
      </c>
      <c r="I12" s="35">
        <v>100</v>
      </c>
      <c r="J12" s="35">
        <v>100</v>
      </c>
      <c r="K12" s="35">
        <v>100</v>
      </c>
      <c r="L12" s="35">
        <v>99.39060000000001</v>
      </c>
      <c r="M12" s="35">
        <v>100</v>
      </c>
      <c r="N12" s="35">
        <v>9.752700000000001</v>
      </c>
      <c r="O12" s="35">
        <v>100</v>
      </c>
      <c r="P12" s="35">
        <v>100</v>
      </c>
      <c r="Q12" s="35">
        <v>100</v>
      </c>
      <c r="R12" s="35">
        <v>100</v>
      </c>
      <c r="S12" s="39">
        <v>99.96429999999999</v>
      </c>
      <c r="T12" s="39">
        <v>100</v>
      </c>
      <c r="U12" s="35">
        <v>100</v>
      </c>
      <c r="V12" s="35">
        <v>93.94050450785461</v>
      </c>
      <c r="W12" s="35"/>
      <c r="X12" s="35"/>
      <c r="Y12" s="35"/>
      <c r="Z12" s="42"/>
    </row>
    <row r="13" spans="1:29">
      <c r="A13" s="1"/>
      <c r="B13" s="1">
        <v>2</v>
      </c>
      <c r="C13" s="101">
        <v>43770</v>
      </c>
      <c r="D13" s="101">
        <v>43799.99998842592</v>
      </c>
      <c r="F13" s="26">
        <v>11</v>
      </c>
      <c r="G13" s="34">
        <v>100</v>
      </c>
      <c r="H13" s="35">
        <v>100</v>
      </c>
      <c r="I13" s="35">
        <v>100</v>
      </c>
      <c r="J13" s="35">
        <v>100</v>
      </c>
      <c r="K13" s="35">
        <v>100</v>
      </c>
      <c r="L13" s="35">
        <v>57.9862</v>
      </c>
      <c r="M13" s="35">
        <v>100</v>
      </c>
      <c r="N13" s="35">
        <v>0</v>
      </c>
      <c r="O13" s="35">
        <v>100</v>
      </c>
      <c r="P13" s="35">
        <v>100</v>
      </c>
      <c r="Q13" s="35">
        <v>100</v>
      </c>
      <c r="R13" s="35">
        <v>79.7847</v>
      </c>
      <c r="S13" s="39">
        <v>99.38630000000001</v>
      </c>
      <c r="T13" s="39">
        <v>75.706</v>
      </c>
      <c r="U13" s="35">
        <v>100</v>
      </c>
      <c r="V13" s="35">
        <v>87.52421329380653</v>
      </c>
      <c r="W13" s="35"/>
      <c r="X13" s="35"/>
      <c r="Y13" s="35"/>
      <c r="Z13" s="42"/>
    </row>
    <row r="14" spans="1:29">
      <c r="A14" s="1"/>
      <c r="F14" s="26"/>
      <c r="G14" s="34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9"/>
      <c r="T14" s="39"/>
      <c r="U14" s="35"/>
      <c r="V14" s="35"/>
      <c r="W14" s="35"/>
      <c r="X14" s="35"/>
      <c r="Y14" s="35"/>
      <c r="Z14" s="42"/>
    </row>
    <row r="15" spans="1:29">
      <c r="A15" s="1"/>
      <c r="F15" s="26"/>
      <c r="G15" s="34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9"/>
      <c r="T15" s="39"/>
      <c r="U15" s="35"/>
      <c r="V15" s="35"/>
      <c r="W15" s="35"/>
      <c r="X15" s="35"/>
      <c r="Y15" s="35"/>
      <c r="Z15" s="42"/>
    </row>
    <row r="16" spans="1:29">
      <c r="A16" s="1"/>
      <c r="F16" s="26"/>
      <c r="G16" s="34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9"/>
      <c r="T16" s="39"/>
      <c r="U16" s="35"/>
      <c r="V16" s="35"/>
      <c r="W16" s="35"/>
      <c r="X16" s="35"/>
      <c r="Y16" s="35"/>
      <c r="Z16" s="42"/>
    </row>
    <row r="17" spans="1:29">
      <c r="A17" s="1"/>
      <c r="F17" s="26"/>
      <c r="G17" s="34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9"/>
      <c r="T17" s="39"/>
      <c r="U17" s="35"/>
      <c r="V17" s="35"/>
      <c r="W17" s="35"/>
      <c r="X17" s="35"/>
      <c r="Y17" s="35"/>
      <c r="Z17" s="42"/>
    </row>
    <row r="18" spans="1:29">
      <c r="A18" s="1"/>
      <c r="F18" s="26"/>
      <c r="G18" s="34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9"/>
      <c r="T18" s="39"/>
      <c r="U18" s="35"/>
      <c r="V18" s="35"/>
      <c r="W18" s="35"/>
      <c r="X18" s="35"/>
      <c r="Y18" s="35"/>
      <c r="Z18" s="42"/>
    </row>
    <row r="19" spans="1:29">
      <c r="A19" s="1"/>
      <c r="F19" s="26"/>
      <c r="G19" s="34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9"/>
      <c r="T19" s="39"/>
      <c r="U19" s="35"/>
      <c r="V19" s="35"/>
      <c r="W19" s="35"/>
      <c r="X19" s="35"/>
      <c r="Y19" s="35"/>
      <c r="Z19" s="42"/>
    </row>
    <row r="20" spans="1:29">
      <c r="A20" s="1"/>
      <c r="F20" s="26"/>
      <c r="G20" s="34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9"/>
      <c r="T20" s="35"/>
      <c r="U20" s="35"/>
      <c r="V20" s="35"/>
      <c r="W20" s="35"/>
      <c r="X20" s="35"/>
      <c r="Y20" s="35"/>
      <c r="Z20" s="42"/>
    </row>
    <row r="21" spans="1:29">
      <c r="A21" s="1"/>
      <c r="F21" s="26"/>
      <c r="G21" s="34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9"/>
      <c r="T21" s="35"/>
      <c r="U21" s="35"/>
      <c r="V21" s="35"/>
      <c r="W21" s="35"/>
      <c r="X21" s="35"/>
      <c r="Y21" s="35"/>
      <c r="Z21" s="42"/>
    </row>
    <row r="22" spans="1:29">
      <c r="A22" s="1"/>
      <c r="F22" s="26"/>
      <c r="G22" s="34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9"/>
      <c r="T22" s="35"/>
      <c r="U22" s="35"/>
      <c r="V22" s="35"/>
      <c r="W22" s="35"/>
      <c r="X22" s="35"/>
      <c r="Y22" s="35"/>
      <c r="Z22" s="42"/>
    </row>
    <row r="23" spans="1:29">
      <c r="A23" s="1"/>
      <c r="F23" s="26"/>
      <c r="G23" s="34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9"/>
      <c r="T23" s="35"/>
      <c r="U23" s="35"/>
      <c r="V23" s="35"/>
      <c r="W23" s="35"/>
      <c r="X23" s="35"/>
      <c r="Y23" s="35"/>
      <c r="Z23" s="42"/>
    </row>
    <row r="24" spans="1:29">
      <c r="A24" s="1"/>
      <c r="F24" s="26"/>
      <c r="G24" s="34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9"/>
      <c r="T24" s="35"/>
      <c r="U24" s="35"/>
      <c r="V24" s="35"/>
      <c r="W24" s="35"/>
      <c r="X24" s="35"/>
      <c r="Y24" s="35"/>
      <c r="Z24" s="42"/>
    </row>
    <row r="25" spans="1:29">
      <c r="A25" s="1"/>
      <c r="F25" s="26"/>
      <c r="G25" s="34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9"/>
      <c r="T25" s="35"/>
      <c r="U25" s="35"/>
      <c r="V25" s="35"/>
      <c r="W25" s="35"/>
      <c r="X25" s="35"/>
      <c r="Y25" s="35"/>
      <c r="Z25" s="42"/>
    </row>
    <row r="26" spans="1:29">
      <c r="A26" s="1"/>
      <c r="F26" s="26"/>
      <c r="G26" s="34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9"/>
      <c r="T26" s="35"/>
      <c r="U26" s="35"/>
      <c r="V26" s="35"/>
      <c r="W26" s="35"/>
      <c r="X26" s="35"/>
      <c r="Y26" s="35"/>
      <c r="Z26" s="42"/>
    </row>
    <row r="27" spans="1:29">
      <c r="A27" s="1"/>
      <c r="F27" s="26"/>
      <c r="G27" s="34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9"/>
      <c r="T27" s="35"/>
      <c r="U27" s="35"/>
      <c r="V27" s="35"/>
      <c r="W27" s="35"/>
      <c r="X27" s="35"/>
      <c r="Y27" s="35"/>
      <c r="Z27" s="42"/>
    </row>
    <row r="28" spans="1:29">
      <c r="A28" s="1"/>
      <c r="F28" s="26"/>
      <c r="G28" s="34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9"/>
      <c r="T28" s="35"/>
      <c r="U28" s="35"/>
      <c r="V28" s="35"/>
      <c r="W28" s="35"/>
      <c r="X28" s="35"/>
      <c r="Y28" s="35"/>
      <c r="Z28" s="42"/>
    </row>
    <row r="29" spans="1:29">
      <c r="A29" s="1"/>
      <c r="F29" s="26"/>
      <c r="G29" s="34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9"/>
      <c r="T29" s="35"/>
      <c r="U29" s="35"/>
      <c r="V29" s="35"/>
      <c r="W29" s="35"/>
      <c r="X29" s="35"/>
      <c r="Y29" s="35"/>
      <c r="Z29" s="42"/>
    </row>
    <row r="30" spans="1:29" customHeight="1" ht="15.75">
      <c r="A30" s="1" t="s">
        <v>76</v>
      </c>
      <c r="F30" s="27"/>
      <c r="G30" s="36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0"/>
      <c r="T30" s="37"/>
      <c r="U30" s="37"/>
      <c r="V30" s="37"/>
      <c r="W30" s="37"/>
      <c r="X30" s="37"/>
      <c r="Y30" s="37"/>
      <c r="Z30" s="43"/>
    </row>
    <row r="31" spans="1:29">
      <c r="A31" s="1" t="s">
        <v>77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N5:O5"/>
    <mergeCell ref="K5:L5"/>
  </mergeCells>
  <printOptions gridLines="false" gridLinesSet="true"/>
  <pageMargins left="0.2362204724409449" right="0.2362204724409449" top="0.7480314960629921" bottom="0.7480314960629921" header="0.3149606299212598" footer="0.3149606299212598"/>
  <pageSetup paperSize="9" orientation="landscape" scale="100" fitToHeight="1" fitToWidth="1"/>
  <headerFooter differentOddEven="false" differentFirst="false" scaleWithDoc="true" alignWithMargins="true">
    <oddHeader/>
    <oddFooter>Page &amp;P&amp;RBoarding Bridges</oddFooter>
    <evenHeader/>
    <evenFooter/>
    <firstHeader/>
    <first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REPDEF</vt:lpstr>
      <vt:lpstr>FIRST PAGE</vt:lpstr>
      <vt:lpstr>REPORT</vt:lpstr>
    </vt:vector>
  </TitlesOfParts>
  <Company>Nexis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Airport Monitoring System</dc:creator>
  <cp:lastModifiedBy>desmete</cp:lastModifiedBy>
  <dcterms:created xsi:type="dcterms:W3CDTF">2014-10-05T03:36:43+00:00</dcterms:created>
  <dcterms:modified xsi:type="dcterms:W3CDTF">2019-02-27T14:16:35+00:00</dcterms:modified>
  <dc:title>Lot3 KPI 213 Monthly 2019</dc:title>
  <dc:description/>
  <dc:subject>start-date - end-date 17:00 - 20:00</dc:subject>
  <cp:keywords/>
  <cp:category/>
</cp:coreProperties>
</file>