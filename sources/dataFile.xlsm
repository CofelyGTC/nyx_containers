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drawings/drawing3.xml" ContentType="application/vnd.openxmlformats-officedocument.drawing+xml"/>
  <Default Extension="png" ContentType="image/png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1" firstSheet="0" minimized="0" showHorizontalScroll="1" showSheetTabs="1" showVerticalScroll="1" tabRatio="600" visibility="visible"/>
  </bookViews>
  <sheets>
    <sheet name="REPDEF" sheetId="1" state="hidden" r:id="rId4"/>
    <sheet name="FIRST PAGE" sheetId="2" r:id="rId5"/>
    <sheet name="REPORT" sheetId="3" r:id="rId6"/>
  </sheets>
  <definedNames>
    <definedName name="EQVAL">'REPORT'!$G$11:$JD$30</definedName>
    <definedName name="INTERVAL">'FIRST PAGE'!$F$2</definedName>
    <definedName name="INTVAL">'REPORT'!$F$11:$F$30</definedName>
    <definedName name="INTVAL_F">'FIRST PAGE'!$B$15:$B$26</definedName>
    <definedName name="PERCENTAGE">'FIRST PAGE'!$D$6</definedName>
    <definedName name="_xlnm.print_titles">'REPORT'!$4:$10</definedName>
    <definedName name="GRP_1126">'REPORT'!$JB$11:$JB$30</definedName>
    <definedName name="GRP_1126_NAME">'REPORT'!$JB$8</definedName>
  </definedNames>
  <calcPr calcId="999999" calcMode="auto" calcCompleted="0" fullCalcOnLoad="1"/>
</workbook>
</file>

<file path=xl/sharedStrings.xml><?xml version="1.0" encoding="utf-8"?>
<sst xmlns="http://schemas.openxmlformats.org/spreadsheetml/2006/main" uniqueCount="317">
  <si>
    <t>id</t>
  </si>
  <si>
    <t>id_report</t>
  </si>
  <si>
    <t>name</t>
  </si>
  <si>
    <t>excel_sheet</t>
  </si>
  <si>
    <t>report_type</t>
  </si>
  <si>
    <t>group_values_only</t>
  </si>
  <si>
    <t>interval</t>
  </si>
  <si>
    <t>user_groups</t>
  </si>
  <si>
    <t>restrict_user_id</t>
  </si>
  <si>
    <t>cycle</t>
  </si>
  <si>
    <t>iterations</t>
  </si>
  <si>
    <t>id_user</t>
  </si>
  <si>
    <t>status</t>
  </si>
  <si>
    <t>start_date</t>
  </si>
  <si>
    <t>end_date</t>
  </si>
  <si>
    <t>start_time</t>
  </si>
  <si>
    <t>end_time</t>
  </si>
  <si>
    <t>email</t>
  </si>
  <si>
    <t>no_maintenance</t>
  </si>
  <si>
    <t>g_start_date</t>
  </si>
  <si>
    <t>g_end_date</t>
  </si>
  <si>
    <t>point_groups</t>
  </si>
  <si>
    <t>KPI 203 Monthly 2022</t>
  </si>
  <si>
    <t>stat_kpi_203</t>
  </si>
  <si>
    <t>month</t>
  </si>
  <si>
    <t>all</t>
  </si>
  <si>
    <t>running</t>
  </si>
  <si>
    <t>codexplatform-airport.cofely.be@engie.com ,sla_kpi_am@brusselsairport.be,bacavailabilities@cofelygtc.com</t>
  </si>
  <si>
    <t>-1-2-</t>
  </si>
  <si>
    <t>KPI 203</t>
  </si>
  <si>
    <t>Maand:</t>
  </si>
  <si>
    <t>Opgemaakt door:</t>
  </si>
  <si>
    <t>Beschikbaarheid van sprinklerpost en collectoren</t>
  </si>
  <si>
    <t>Samenvatting</t>
  </si>
  <si>
    <t>Percentage beschikbaarheid</t>
  </si>
  <si>
    <t>Score gebied</t>
  </si>
  <si>
    <t>100% - 99%</t>
  </si>
  <si>
    <t>98.9% - 95%</t>
  </si>
  <si>
    <t>94.9%-0%</t>
  </si>
  <si>
    <t>Punten KPI</t>
  </si>
  <si>
    <t>Data vorige scores</t>
  </si>
  <si>
    <t>Score</t>
  </si>
  <si>
    <t>RFLAG</t>
  </si>
  <si>
    <t>PNUM</t>
  </si>
  <si>
    <t>SDATE</t>
  </si>
  <si>
    <t>EDATE</t>
  </si>
  <si>
    <t>INTID</t>
  </si>
  <si>
    <t>EQ1</t>
  </si>
  <si>
    <t>EQN</t>
  </si>
  <si>
    <t>GRPID</t>
  </si>
  <si>
    <t>GRP_1126</t>
  </si>
  <si>
    <t>-</t>
  </si>
  <si>
    <t>Interval:</t>
  </si>
  <si>
    <t>EQT</t>
  </si>
  <si>
    <t>EQ</t>
  </si>
  <si>
    <t>GTF_02__EXPA</t>
  </si>
  <si>
    <t>GTF_FA_CA_ANSO</t>
  </si>
  <si>
    <t>GTF_FA_CA_FLID</t>
  </si>
  <si>
    <t>GTF_FA_CA_HASPEL_1</t>
  </si>
  <si>
    <t>GTF_FA_CA_SPRINKLER_1</t>
  </si>
  <si>
    <t>GTF_FA_CB_ANSO</t>
  </si>
  <si>
    <t>GTF_FA_CB_FLID</t>
  </si>
  <si>
    <t>GTF_FA_CB_HASPEL_1</t>
  </si>
  <si>
    <t>GTF_FA_CB_SPRINKLER_1</t>
  </si>
  <si>
    <t>GTF_FA_CC_ANSO</t>
  </si>
  <si>
    <t>GTF_FA_CC_FLID</t>
  </si>
  <si>
    <t>GTF_FA_CC_HASPEL_1</t>
  </si>
  <si>
    <t>GTF_FA_CC_SPRINKLER_1</t>
  </si>
  <si>
    <t>GTF_FA_CD_ANSO</t>
  </si>
  <si>
    <t>GTF_FA_CD_FLID</t>
  </si>
  <si>
    <t>GTF_FA_CD_HASPEL_1</t>
  </si>
  <si>
    <t>GTF_FA_CD_SPRINKLER_1</t>
  </si>
  <si>
    <t>GTF_FA_CE_ANSO</t>
  </si>
  <si>
    <t>GTF_FA_CE_FLID</t>
  </si>
  <si>
    <t>GTF_FA_CE_HASPEL_1</t>
  </si>
  <si>
    <t>GTF_FA_CE_SPRINKLER_1</t>
  </si>
  <si>
    <t>GTF_FA_CF_ANSO</t>
  </si>
  <si>
    <t>GTF_FA_CF_FLID</t>
  </si>
  <si>
    <t>GTF_FA_CF_HASPEL_1</t>
  </si>
  <si>
    <t>GTF_FA_CF_SPRINKLER_1</t>
  </si>
  <si>
    <t>GTF_FA_CG_ANSO</t>
  </si>
  <si>
    <t>GTF_FA_CG_FLID</t>
  </si>
  <si>
    <t>GTF_FA_CG_HASPEL_1</t>
  </si>
  <si>
    <t>GTF_FA_CG_SPRINKLER_1</t>
  </si>
  <si>
    <t>GTF_FA_PRES_REGULATOR</t>
  </si>
  <si>
    <t>GTF_FA__WATER_COURSE</t>
  </si>
  <si>
    <t>GTF_FB_CA_ANSO</t>
  </si>
  <si>
    <t>GTF_FB_CA_FLID_PRESSURE</t>
  </si>
  <si>
    <t>GTF_FB_CA_HASPEL_1</t>
  </si>
  <si>
    <t>GTF_FB_CA_SPRINKLER_1</t>
  </si>
  <si>
    <t>GTF_FB_CB_ANSO</t>
  </si>
  <si>
    <t>GTF_FB_CB_FLID_PRESSURE</t>
  </si>
  <si>
    <t>GTF_FB_CB_HASPEL_1</t>
  </si>
  <si>
    <t>GTF_FB_CB_SPRINKLER_1</t>
  </si>
  <si>
    <t>GTF_FB_CB_SPRINKLER_2</t>
  </si>
  <si>
    <t>GTF_FB_CB_SPRINKLER_3</t>
  </si>
  <si>
    <t>GTF_FB_CC_ANSO</t>
  </si>
  <si>
    <t>GTF_FB_CC_FLID_PRESSURE</t>
  </si>
  <si>
    <t>GTF_FB_CC_HASPEL_1</t>
  </si>
  <si>
    <t>GTF_FB_CC_SPRINKLER_1</t>
  </si>
  <si>
    <t>GTF_FB_CC_SPRINKLER_2</t>
  </si>
  <si>
    <t>GTF_FB_CD_ANSO</t>
  </si>
  <si>
    <t>GTF_FB_CD_FLID_PRESSURE</t>
  </si>
  <si>
    <t>GTF_FB_CD_HASPEL_1</t>
  </si>
  <si>
    <t>GTF_FB_CD_SPRINKLER_1</t>
  </si>
  <si>
    <t>GTF_FB_CD_SPRINKLER_2</t>
  </si>
  <si>
    <t>GTF_FB_CE_ANSO</t>
  </si>
  <si>
    <t>GTF_FB_CE_FLID_PRESSURE</t>
  </si>
  <si>
    <t>GTF_FB_CE_HASPEL_1</t>
  </si>
  <si>
    <t>GTF_FB_CE_SPRINKLER_1</t>
  </si>
  <si>
    <t>GTF_FB_CF_ANSO</t>
  </si>
  <si>
    <t>GTF_FB_CF_FLID_PRESSURE</t>
  </si>
  <si>
    <t>GTF_FB_CF_HASPEL_1</t>
  </si>
  <si>
    <t>GTF_FB_CF_SPRINKLER_1</t>
  </si>
  <si>
    <t>GTF_FB_CG_ANSO</t>
  </si>
  <si>
    <t>GTF_FB_CG_FLID_PRESSURE</t>
  </si>
  <si>
    <t>GTF_FB_CG_HASPEL_1</t>
  </si>
  <si>
    <t>GTF_FB_CG_SPRINKLER_1</t>
  </si>
  <si>
    <t>GTF_FB_CH_ANSO</t>
  </si>
  <si>
    <t>GTF_FB_CH_FLID_PRESSURE</t>
  </si>
  <si>
    <t>GTF_FB_CH_HASPEL_1</t>
  </si>
  <si>
    <t>GTF_FB_CH_SPRINKLER_1</t>
  </si>
  <si>
    <t>GTF_FB_CH_SPRINKLER_2</t>
  </si>
  <si>
    <t>GTF_FB_TECH_NAF</t>
  </si>
  <si>
    <t>GTF_FB_WATER_COURSE</t>
  </si>
  <si>
    <t>GTF_GA_HASPEL_1</t>
  </si>
  <si>
    <t>GTF_GA_HASPEL_10</t>
  </si>
  <si>
    <t>GTF_GA_HASPEL_11</t>
  </si>
  <si>
    <t>GTF_GA_HASPEL_12</t>
  </si>
  <si>
    <t>GTF_GA_HASPEL_13</t>
  </si>
  <si>
    <t>GTF_GA_HASPEL_14</t>
  </si>
  <si>
    <t>GTF_GA_HASPEL_2</t>
  </si>
  <si>
    <t>GTF_GA_HASPEL_3A</t>
  </si>
  <si>
    <t>GTF_GA_HASPEL_4</t>
  </si>
  <si>
    <t>GTF_GA_HASPEL_5A</t>
  </si>
  <si>
    <t>GTF_GA_HASPEL_6</t>
  </si>
  <si>
    <t>GTF_GA_HASPEL_7</t>
  </si>
  <si>
    <t>GTF_GA_HASPEL_8</t>
  </si>
  <si>
    <t>GTF_GA_HASPEL_9</t>
  </si>
  <si>
    <t>GTF_GA_SPRINKLER_5_GA01750</t>
  </si>
  <si>
    <t>GTF_GA_SPRINKLER_6_GA01400</t>
  </si>
  <si>
    <t>GTF_GM_HASPEL_1</t>
  </si>
  <si>
    <t>GTF_GM_HASPEL_2</t>
  </si>
  <si>
    <t>GTF_GM_HASPEL_3</t>
  </si>
  <si>
    <t>GTF_GM_HASPEL_4</t>
  </si>
  <si>
    <t>GTF_GM_HASPEL_5</t>
  </si>
  <si>
    <t>GTF_GM_HASPEL_6</t>
  </si>
  <si>
    <t>GTF_GM_SPRINKLER_1_GM02900</t>
  </si>
  <si>
    <t>GTF_GM_SPRINKLER_2_GM00450</t>
  </si>
  <si>
    <t>GTF_GM_SPRINKLER_4_GR00500</t>
  </si>
  <si>
    <t>GTF_GP_COL_700_SYSTEM_1</t>
  </si>
  <si>
    <t>GTF_GP_COL_700_SYSTEM_10</t>
  </si>
  <si>
    <t>GTF_GP_COL_700_SYSTEM_2</t>
  </si>
  <si>
    <t>GTF_GP_COL_700_SYSTEM_3</t>
  </si>
  <si>
    <t>GTF_GP_COL_700_SYSTEM_4</t>
  </si>
  <si>
    <t>GTF_GP_COL_700_SYSTEM_5</t>
  </si>
  <si>
    <t>GTF_GP_COL_700_SYSTEM_6</t>
  </si>
  <si>
    <t>GTF_GP_COL_700_SYSTEM_7</t>
  </si>
  <si>
    <t>GTF_GP_COL_700_SYSTEM_8</t>
  </si>
  <si>
    <t>GTF_GP_COL_700_SYSTEM_9</t>
  </si>
  <si>
    <t>GTF_GP_FIRE_GLOBAL_ALARM</t>
  </si>
  <si>
    <t>GTF_GP_FIRE_LOWPRESSURE</t>
  </si>
  <si>
    <t>GTF_GP_HASPEL_1</t>
  </si>
  <si>
    <t>GTF_GP_HASPEL_11</t>
  </si>
  <si>
    <t>GTF_GP_HASPEL_12A</t>
  </si>
  <si>
    <t>GTF_GP_HASPEL_13</t>
  </si>
  <si>
    <t>GTF_GP_HASPEL_14A</t>
  </si>
  <si>
    <t>GTF_GP_HASPEL_2</t>
  </si>
  <si>
    <t>GTF_GP_HASPEL_3</t>
  </si>
  <si>
    <t>GTF_GP_HASPEL_4</t>
  </si>
  <si>
    <t>GTF_GP_HASPEL_5A</t>
  </si>
  <si>
    <t>GTF_GP_HASPEL_6</t>
  </si>
  <si>
    <t>GTF_GP_HASPEL_9</t>
  </si>
  <si>
    <t>GTF_GR_HASPEL_10</t>
  </si>
  <si>
    <t>GTF_GR_HASPEL_11A</t>
  </si>
  <si>
    <t>GTF_GR_HASPEL_1A</t>
  </si>
  <si>
    <t>GTF_GR_HASPEL_2</t>
  </si>
  <si>
    <t>GTF_GR_HASPEL_3A</t>
  </si>
  <si>
    <t>GTF_GR_HASPEL_4</t>
  </si>
  <si>
    <t>GTF_GR_HASPEL_5A</t>
  </si>
  <si>
    <t>GTF_GR_HASPEL_6</t>
  </si>
  <si>
    <t>GTF_GR_HASPEL_7</t>
  </si>
  <si>
    <t>GTF_GR_HASPEL_8</t>
  </si>
  <si>
    <t>GTF_GR_HASPEL_9A</t>
  </si>
  <si>
    <t>GTF_GR_SPRINKLER_3_GR00300</t>
  </si>
  <si>
    <t>GTF_GR_SPRINKLER_4B_GR0850</t>
  </si>
  <si>
    <t>GTF_GR_SPRINKLER_GR00100</t>
  </si>
  <si>
    <t>GTF_GR_SPRINKLER_GR01750</t>
  </si>
  <si>
    <t>GTF_GR_SPRINKLER_GR01800</t>
  </si>
  <si>
    <t>GTF_GR_SPRINKLER_GR02350</t>
  </si>
  <si>
    <t>GTF_GR_SPRINKLER_GR02400</t>
  </si>
  <si>
    <t>GTF_GR_SPRINKLER_GR02410</t>
  </si>
  <si>
    <t>GTF_GR_SPRINKLER_GR02450</t>
  </si>
  <si>
    <t>GTF_GR_SPRINKLER_GR02500</t>
  </si>
  <si>
    <t>GTF_GR_SPRINKLER_GR02550</t>
  </si>
  <si>
    <t>GTF_GR_SPRINKLER_GR02600</t>
  </si>
  <si>
    <t>GTF_GR_SPRINKLER_GR03150</t>
  </si>
  <si>
    <t>GTF_GR_SPRINKLER_GR03200</t>
  </si>
  <si>
    <t>GTF_GR_SPRINKLER_GR03250</t>
  </si>
  <si>
    <t>GTF_GR_SPRINKLER_GR03300</t>
  </si>
  <si>
    <t>GTF_GV_HASPEL_10</t>
  </si>
  <si>
    <t>GTF_GV_HASPEL_11</t>
  </si>
  <si>
    <t>GTF_GV_HASPEL_12</t>
  </si>
  <si>
    <t>GTF_GV_HASPEL_13</t>
  </si>
  <si>
    <t>GTF_GV_HASPEL_14</t>
  </si>
  <si>
    <t>GTF_GV_HASPEL_5</t>
  </si>
  <si>
    <t>GTF_GV_HASPEL_6</t>
  </si>
  <si>
    <t>GTF_GV_HASPEL_7A</t>
  </si>
  <si>
    <t>GTF_GV_HASPEL_8</t>
  </si>
  <si>
    <t>GTF_GV_HASPEL_9</t>
  </si>
  <si>
    <t>GTF_I_CA_HASPEL_1</t>
  </si>
  <si>
    <t>GTF_I_CA_HASPEL_2</t>
  </si>
  <si>
    <t>GTF_I_CA_SPRINKLER_1</t>
  </si>
  <si>
    <t>GTF_I_CA_SPRINKLER_2</t>
  </si>
  <si>
    <t>GTF_I_CB_HASPEL_1</t>
  </si>
  <si>
    <t>GTF_I_CB_SPRINKLER_1</t>
  </si>
  <si>
    <t>GTF_NT_BHC_TECH_NAF</t>
  </si>
  <si>
    <t>GTF_NT_CA_ANSO</t>
  </si>
  <si>
    <t>GTF_NT_CA_C_ANSO</t>
  </si>
  <si>
    <t>GTF_NT_CA_FLID_PRESSURE</t>
  </si>
  <si>
    <t>GTF_NT_CA_HASPEL_1</t>
  </si>
  <si>
    <t>GTF_NT_CA_HASPEL_2</t>
  </si>
  <si>
    <t>GTF_NT_CA_HASPEL_3</t>
  </si>
  <si>
    <t>GTF_NT_CA_SPRINKLER_1</t>
  </si>
  <si>
    <t>GTF_NT_CA_SPRINKLER_2</t>
  </si>
  <si>
    <t>GTF_NT_CA_SPRINKLER_3</t>
  </si>
  <si>
    <t>GTF_NT_CA_SPRINKLER_4</t>
  </si>
  <si>
    <t>GTF_NT_CA_SPRINKLER_6</t>
  </si>
  <si>
    <t>GTF_NT_CA_SPRINKLER_7</t>
  </si>
  <si>
    <t>GTF_NT_CB_ANSO</t>
  </si>
  <si>
    <t>GTF_NT_CB_FLID_PRESSURE</t>
  </si>
  <si>
    <t>GTF_NT_CB_HASPEL_1</t>
  </si>
  <si>
    <t>GTF_NT_CB_HASPEL_2</t>
  </si>
  <si>
    <t>GTF_NT_CB_HASPEL_3</t>
  </si>
  <si>
    <t>GTF_NT_CB_SPRINKLER_1</t>
  </si>
  <si>
    <t>GTF_NT_CB_SPRINKLER_2</t>
  </si>
  <si>
    <t>GTF_NT_CB_SPRINKLER_3</t>
  </si>
  <si>
    <t>GTF_NT_CB_SPRINKLER_4</t>
  </si>
  <si>
    <t>GTF_NT_CB_SPRINKLER_5</t>
  </si>
  <si>
    <t>GTF_NT_CC_ANSO</t>
  </si>
  <si>
    <t>GTF_NT_CC_FLID_PRESSURE</t>
  </si>
  <si>
    <t>GTF_NT_CC_HASPEL_1</t>
  </si>
  <si>
    <t>GTF_NT_CC_HASPEL_2</t>
  </si>
  <si>
    <t>GTF_NT_CC_HASPEL_3</t>
  </si>
  <si>
    <t>GTF_NT_CC_SPRINKLER_1</t>
  </si>
  <si>
    <t>GTF_NT_CC_SPRINKLER_2</t>
  </si>
  <si>
    <t>GTF_NT_CC_SPRINKLER_3</t>
  </si>
  <si>
    <t>GTF_NT_CC_SPRINKLER_4</t>
  </si>
  <si>
    <t>GTF_NT_CC_SPRINKLER_5</t>
  </si>
  <si>
    <t>GTF_NT_CC_SPRINKLER_6</t>
  </si>
  <si>
    <t>GTF_NT_CD_ANSO</t>
  </si>
  <si>
    <t>GTF_NT_CD_FLID_PRESSURE</t>
  </si>
  <si>
    <t>GTF_NT_CD_HASPEL_1</t>
  </si>
  <si>
    <t>GTF_NT_CD_HASPEL_2</t>
  </si>
  <si>
    <t>GTF_NT_CD_HASPEL_3</t>
  </si>
  <si>
    <t>GTF_NT_CD_SPRINKLER_1</t>
  </si>
  <si>
    <t>GTF_NT_CD_SPRINKLER_2</t>
  </si>
  <si>
    <t>GTF_NT_CD_SPRINKLER_3</t>
  </si>
  <si>
    <t>GTF_NT_CD_SPRINKLER_4</t>
  </si>
  <si>
    <t>GTF_NT_CD_SPRINKLER_5</t>
  </si>
  <si>
    <t>GTF_NT_MIS_TECH_NAF</t>
  </si>
  <si>
    <t>GTF_NT_MTX2_TECH_NAF</t>
  </si>
  <si>
    <t>GTF_NT_MTX_TECH_NAF</t>
  </si>
  <si>
    <t>GTF_NT_TECH_MOSS</t>
  </si>
  <si>
    <t>GTF_NT_TECH_PRES_REGULATOR</t>
  </si>
  <si>
    <t>GTF_NT_TL00_TECH_NAF</t>
  </si>
  <si>
    <t>GTF_NT_WATER_COURSE</t>
  </si>
  <si>
    <t>GTF_OT_CA_ANSO</t>
  </si>
  <si>
    <t>GTF_OT_CA_COLLECTOR</t>
  </si>
  <si>
    <t>GTF_OT_CA_HASPEL_1</t>
  </si>
  <si>
    <t>GTF_OT_CA_MICRODROP</t>
  </si>
  <si>
    <t>GTF_OT_CA_POWER</t>
  </si>
  <si>
    <t>GTF_OT_CA_SPRINKLER_1</t>
  </si>
  <si>
    <t>GTF_OT_CA_SPRINKLER_2</t>
  </si>
  <si>
    <t>GTF_OT_CA_SPRINKLER_3</t>
  </si>
  <si>
    <t>GTF_OT_CA_SPRINKLER_4</t>
  </si>
  <si>
    <t>GTF_OT_CA_SPRINKLER_5</t>
  </si>
  <si>
    <t>GTF_OT_CA_SPRINKLER_6</t>
  </si>
  <si>
    <t>GTF_TO_CH_ANSO</t>
  </si>
  <si>
    <t>GTF_TO_CH_FLID</t>
  </si>
  <si>
    <t>GTF_TO_CH_HASPEL_1</t>
  </si>
  <si>
    <t>GTF_TO_CH_HASPEL_2</t>
  </si>
  <si>
    <t>GTF_TO_CH_HASPEL_3</t>
  </si>
  <si>
    <t>GTF_TO_CH_HASPEL_4</t>
  </si>
  <si>
    <t>GTF_TO_CH_SPRINKLER_1</t>
  </si>
  <si>
    <t>GTF_TO_CH_SPRINKLER_2</t>
  </si>
  <si>
    <t>GTF_TO_CH_SPRINKLER_3</t>
  </si>
  <si>
    <t>GTF_TO_CH_SPRINKLER_4</t>
  </si>
  <si>
    <t>GTF_TO_CH_SPRINKLER_5</t>
  </si>
  <si>
    <t>GTF_TO_GAS</t>
  </si>
  <si>
    <t>GTF_TO_PRES_REGULATOR</t>
  </si>
  <si>
    <t>GTF_TU_CA_ANSO</t>
  </si>
  <si>
    <t>GTF_TU_CA_HASPEL_1</t>
  </si>
  <si>
    <t>GTF_TU_CA_SPRINKLER_1</t>
  </si>
  <si>
    <t>GTF_TU_CA_SPRINKLER_2</t>
  </si>
  <si>
    <t>GTK_FA_WATER_COURSE</t>
  </si>
  <si>
    <t>GTK_FB_CA_ANSO_TRACNG</t>
  </si>
  <si>
    <t>GTK_FB_CI_FLID_PRESSURE</t>
  </si>
  <si>
    <t>GTK_GP_FIRE_TRACING</t>
  </si>
  <si>
    <t>GTK_NT_TRACING_3</t>
  </si>
  <si>
    <t>GTK_NT_TRACING_4</t>
  </si>
  <si>
    <t>GTK_NT_TRACING_8</t>
  </si>
  <si>
    <t>GTK_NT_TRACING_9</t>
  </si>
  <si>
    <t>GTK_TO_TRACING_K1</t>
  </si>
  <si>
    <t>GTK_TO_TRACING_K2</t>
  </si>
  <si>
    <t>GTK_TO_TRACING_K3</t>
  </si>
  <si>
    <t>GTK_TO_TRACING_K4</t>
  </si>
  <si>
    <t>GTK_TO_WATER_COURSE</t>
  </si>
  <si>
    <t>GTK_TU_TRACING</t>
  </si>
  <si>
    <t>GTK_TU_WATER_COURSE</t>
  </si>
  <si>
    <t>KPI_203_SP_COL</t>
  </si>
  <si>
    <t>OBJ</t>
  </si>
  <si>
    <t>NUMEQ</t>
  </si>
  <si>
    <t>#EQ</t>
  </si>
  <si>
    <t>P1</t>
  </si>
  <si>
    <t>PN</t>
  </si>
  <si>
    <t>LL</t>
  </si>
</sst>
</file>

<file path=xl/styles.xml><?xml version="1.0" encoding="utf-8"?>
<styleSheet xmlns="http://schemas.openxmlformats.org/spreadsheetml/2006/main" xml:space="preserve">
  <numFmts count="5">
    <numFmt numFmtId="164" formatCode="h:mm;@"/>
    <numFmt numFmtId="165" formatCode="yyyy\-mm\-dd"/>
    <numFmt numFmtId="166" formatCode="dd\-mm\-yy;@"/>
    <numFmt numFmtId="167" formatCode="d/m/y h:mm"/>
    <numFmt numFmtId="168" formatCode="yyyy-mm-dd"/>
  </numFmts>
  <fonts count="6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000000"/>
      <name val="Times New Roman"/>
    </font>
    <font>
      <b val="1"/>
      <i val="0"/>
      <strike val="0"/>
      <u val="none"/>
      <sz val="14"/>
      <color rgb="FF000000"/>
      <name val="Times New Roman"/>
    </font>
    <font>
      <b val="1"/>
      <i val="0"/>
      <strike val="0"/>
      <u val="none"/>
      <sz val="11"/>
      <color rgb="FF000000"/>
      <name val="Times New Roman"/>
    </font>
    <font>
      <b val="1"/>
      <i val="0"/>
      <strike val="0"/>
      <u val="none"/>
      <sz val="11"/>
      <color rgb="FF000000"/>
      <name val="Calibri"/>
    </font>
    <font>
      <b val="1"/>
      <i val="0"/>
      <strike val="0"/>
      <u val="none"/>
      <sz val="12"/>
      <color rgb="FF000000"/>
      <name val="Times New Roman"/>
    </font>
  </fonts>
  <fills count="6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BFBFBF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5A5A5"/>
        <bgColor rgb="FFFFFFFF"/>
      </patternFill>
    </fill>
  </fills>
  <borders count="50">
    <border/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  <border>
      <left style="thin">
        <color rgb="FF000000"/>
      </left>
      <top style="thin">
        <color rgb="FF000000"/>
      </top>
      <bottom style="medium">
        <color rgb="FF000000"/>
      </bottom>
    </border>
  </borders>
  <cellStyleXfs count="1">
    <xf numFmtId="0" fontId="0" fillId="0" borderId="0"/>
  </cellStyleXfs>
  <cellXfs count="105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1" applyFont="1" applyNumberFormat="0" applyFill="0" applyBorder="1" applyAlignment="0">
      <alignment horizontal="general" vertical="bottom" textRotation="0" wrapText="false" shrinkToFit="false"/>
    </xf>
    <xf xfId="0" fontId="1" numFmtId="0" fillId="2" borderId="2" applyFont="1" applyNumberFormat="0" applyFill="0" applyBorder="1" applyAlignment="0">
      <alignment horizontal="general" vertical="bottom" textRotation="0" wrapText="false" shrinkToFit="false"/>
    </xf>
    <xf xfId="0" fontId="1" numFmtId="0" fillId="2" borderId="3" applyFont="1" applyNumberFormat="0" applyFill="0" applyBorder="1" applyAlignment="0">
      <alignment horizontal="general" vertical="bottom" textRotation="0" wrapText="false" shrinkToFit="false"/>
    </xf>
    <xf xfId="0" fontId="1" numFmtId="0" fillId="3" borderId="0" applyFont="1" applyNumberFormat="0" applyFill="1" applyBorder="0" applyAlignment="0">
      <alignment horizontal="general" vertical="bottom" textRotation="0" wrapText="false" shrinkToFit="false"/>
    </xf>
    <xf xfId="0" fontId="1" numFmtId="0" fillId="2" borderId="4" applyFont="1" applyNumberFormat="0" applyFill="0" applyBorder="1" applyAlignment="0">
      <alignment horizontal="general" vertical="bottom" textRotation="0" wrapText="false" shrinkToFit="false"/>
    </xf>
    <xf xfId="0" fontId="1" numFmtId="0" fillId="2" borderId="5" applyFont="1" applyNumberFormat="0" applyFill="0" applyBorder="1" applyAlignment="0">
      <alignment horizontal="general" vertical="bottom" textRotation="0" wrapText="false" shrinkToFit="false"/>
    </xf>
    <xf xfId="0" fontId="1" numFmtId="0" fillId="2" borderId="6" applyFont="1" applyNumberFormat="0" applyFill="0" applyBorder="1" applyAlignment="0">
      <alignment horizontal="general" vertical="bottom" textRotation="0" wrapText="false" shrinkToFit="false"/>
    </xf>
    <xf xfId="0" fontId="1" numFmtId="0" fillId="2" borderId="7" applyFont="1" applyNumberFormat="0" applyFill="0" applyBorder="1" applyAlignment="0">
      <alignment horizontal="general" vertical="bottom" textRotation="0" wrapText="false" shrinkToFit="false"/>
    </xf>
    <xf xfId="0" fontId="1" numFmtId="0" fillId="2" borderId="8" applyFont="1" applyNumberFormat="0" applyFill="0" applyBorder="1" applyAlignment="0">
      <alignment horizontal="general" vertical="bottom" textRotation="0" wrapText="false" shrinkToFit="false"/>
    </xf>
    <xf xfId="0" fontId="1" numFmtId="0" fillId="2" borderId="9" applyFont="1" applyNumberFormat="0" applyFill="0" applyBorder="1" applyAlignment="0">
      <alignment horizontal="general" vertical="bottom" textRotation="0" wrapText="false" shrinkToFit="false"/>
    </xf>
    <xf xfId="0" fontId="1" numFmtId="0" fillId="2" borderId="10" applyFont="1" applyNumberFormat="0" applyFill="0" applyBorder="1" applyAlignment="0">
      <alignment horizontal="general" vertical="bottom" textRotation="0" wrapText="false" shrinkToFit="false"/>
    </xf>
    <xf xfId="0" fontId="2" numFmtId="0" fillId="2" borderId="10" applyFont="1" applyNumberFormat="0" applyFill="0" applyBorder="1" applyAlignment="0">
      <alignment horizontal="general" vertical="bottom" textRotation="0" wrapText="false" shrinkToFit="false"/>
    </xf>
    <xf xfId="0" fontId="1" numFmtId="0" fillId="2" borderId="11" applyFont="1" applyNumberFormat="0" applyFill="0" applyBorder="1" applyAlignment="0">
      <alignment horizontal="general" vertical="bottom" textRotation="0" wrapText="false" shrinkToFit="false"/>
    </xf>
    <xf xfId="0" fontId="1" numFmtId="0" fillId="2" borderId="12" applyFont="1" applyNumberFormat="0" applyFill="0" applyBorder="1" applyAlignment="0">
      <alignment horizontal="general" vertical="bottom" textRotation="0" wrapText="false" shrinkToFit="false"/>
    </xf>
    <xf xfId="0" fontId="1" numFmtId="0" fillId="2" borderId="13" applyFont="1" applyNumberFormat="0" applyFill="0" applyBorder="1" applyAlignment="0">
      <alignment horizontal="general" vertical="bottom" textRotation="0" wrapText="false" shrinkToFit="false"/>
    </xf>
    <xf xfId="0" fontId="1" numFmtId="0" fillId="2" borderId="14" applyFont="1" applyNumberFormat="0" applyFill="0" applyBorder="1" applyAlignment="0">
      <alignment horizontal="general" vertical="bottom" textRotation="0" wrapText="false" shrinkToFit="false"/>
    </xf>
    <xf xfId="0" fontId="1" numFmtId="0" fillId="2" borderId="15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0">
      <alignment horizontal="general" vertical="bottom" textRotation="0" wrapText="false" shrinkToFit="false"/>
    </xf>
    <xf xfId="0" fontId="1" numFmtId="164" fillId="2" borderId="16" applyFont="1" applyNumberFormat="1" applyFill="0" applyBorder="1" applyAlignment="0">
      <alignment horizontal="general" vertical="bottom" textRotation="0" wrapText="false" shrinkToFit="false"/>
    </xf>
    <xf xfId="0" fontId="1" numFmtId="0" fillId="2" borderId="17" applyFont="1" applyNumberFormat="0" applyFill="0" applyBorder="1" applyAlignment="0">
      <alignment horizontal="general" vertical="bottom" textRotation="0" wrapText="false" shrinkToFit="false"/>
    </xf>
    <xf xfId="0" fontId="3" numFmtId="0" fillId="2" borderId="18" applyFont="1" applyNumberFormat="0" applyFill="0" applyBorder="1" applyAlignment="1">
      <alignment horizontal="general" vertical="bottom" textRotation="90" wrapText="false" shrinkToFit="false"/>
    </xf>
    <xf xfId="0" fontId="3" numFmtId="0" fillId="2" borderId="19" applyFont="1" applyNumberFormat="0" applyFill="0" applyBorder="1" applyAlignment="1">
      <alignment horizontal="general" vertical="bottom" textRotation="90" wrapText="false" shrinkToFit="false"/>
    </xf>
    <xf xfId="0" fontId="3" numFmtId="0" fillId="2" borderId="20" applyFont="1" applyNumberFormat="0" applyFill="0" applyBorder="1" applyAlignment="0">
      <alignment horizontal="general" vertical="bottom" textRotation="0" wrapText="false" shrinkToFit="false"/>
    </xf>
    <xf xfId="0" fontId="1" numFmtId="0" fillId="2" borderId="21" applyFont="1" applyNumberFormat="0" applyFill="0" applyBorder="1" applyAlignment="0">
      <alignment horizontal="general" vertical="bottom" textRotation="0" wrapText="false" shrinkToFit="false"/>
    </xf>
    <xf xfId="0" fontId="1" numFmtId="0" fillId="2" borderId="22" applyFont="1" applyNumberFormat="0" applyFill="0" applyBorder="1" applyAlignment="0">
      <alignment horizontal="general" vertical="bottom" textRotation="0" wrapText="false" shrinkToFit="false"/>
    </xf>
    <xf xfId="0" fontId="3" numFmtId="0" fillId="2" borderId="23" applyFont="1" applyNumberFormat="0" applyFill="0" applyBorder="1" applyAlignment="1">
      <alignment horizontal="general" vertical="bottom" textRotation="90" wrapText="false" shrinkToFit="false"/>
    </xf>
    <xf xfId="0" fontId="3" numFmtId="0" fillId="2" borderId="24" applyFont="1" applyNumberFormat="0" applyFill="0" applyBorder="1" applyAlignment="0">
      <alignment horizontal="general" vertical="bottom" textRotation="0" wrapText="false" shrinkToFit="false"/>
    </xf>
    <xf xfId="0" fontId="3" numFmtId="0" fillId="2" borderId="22" applyFont="1" applyNumberFormat="0" applyFill="0" applyBorder="1" applyAlignment="0">
      <alignment horizontal="general" vertical="bottom" textRotation="0" wrapText="false" shrinkToFit="false"/>
    </xf>
    <xf xfId="0" fontId="1" numFmtId="0" fillId="2" borderId="20" applyFont="1" applyNumberFormat="0" applyFill="0" applyBorder="1" applyAlignment="0">
      <alignment horizontal="general" vertical="bottom" textRotation="0" wrapText="false" shrinkToFit="false"/>
    </xf>
    <xf xfId="0" fontId="1" numFmtId="0" fillId="2" borderId="25" applyFont="1" applyNumberFormat="0" applyFill="0" applyBorder="1" applyAlignment="0">
      <alignment horizontal="general" vertical="bottom" textRotation="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7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29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31" applyFont="1" applyNumberFormat="0" applyFill="0" applyBorder="1" applyAlignment="0">
      <alignment horizontal="general" vertical="bottom" textRotation="0" wrapText="false" shrinkToFit="false"/>
    </xf>
    <xf xfId="0" fontId="1" numFmtId="0" fillId="2" borderId="32" applyFont="1" applyNumberFormat="0" applyFill="0" applyBorder="1" applyAlignment="0">
      <alignment horizontal="general" vertical="bottom" textRotation="0" wrapText="false" shrinkToFit="false"/>
    </xf>
    <xf xfId="0" fontId="1" numFmtId="0" fillId="2" borderId="33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1">
      <alignment horizontal="center" vertical="center" textRotation="0" wrapText="false" shrinkToFit="false"/>
    </xf>
    <xf xfId="0" fontId="1" numFmtId="0" fillId="4" borderId="25" applyFont="1" applyNumberFormat="0" applyFill="1" applyBorder="1" applyAlignment="0">
      <alignment horizontal="general" vertical="bottom" textRotation="0" wrapText="false" shrinkToFit="false"/>
    </xf>
    <xf xfId="0" fontId="1" numFmtId="0" fillId="4" borderId="26" applyFont="1" applyNumberFormat="0" applyFill="1" applyBorder="1" applyAlignment="0">
      <alignment horizontal="general" vertical="bottom" textRotation="0" wrapText="false" shrinkToFit="false"/>
    </xf>
    <xf xfId="0" fontId="1" numFmtId="0" fillId="4" borderId="31" applyFont="1" applyNumberFormat="0" applyFill="1" applyBorder="1" applyAlignment="0">
      <alignment horizontal="general" vertical="bottom" textRotation="0" wrapText="false" shrinkToFit="false"/>
    </xf>
    <xf xfId="0" fontId="1" numFmtId="0" fillId="4" borderId="29" applyFont="1" applyNumberFormat="0" applyFill="1" applyBorder="1" applyAlignment="0">
      <alignment horizontal="general" vertical="bottom" textRotation="0" wrapText="false" shrinkToFit="false"/>
    </xf>
    <xf xfId="0" fontId="1" numFmtId="0" fillId="4" borderId="30" applyFont="1" applyNumberFormat="0" applyFill="1" applyBorder="1" applyAlignment="0">
      <alignment horizontal="general" vertical="bottom" textRotation="0" wrapText="false" shrinkToFit="false"/>
    </xf>
    <xf xfId="0" fontId="1" numFmtId="0" fillId="4" borderId="33" applyFont="1" applyNumberFormat="0" applyFill="1" applyBorder="1" applyAlignment="0">
      <alignment horizontal="general" vertical="bottom" textRotation="0" wrapText="false" shrinkToFit="false"/>
    </xf>
    <xf xfId="0" fontId="3" numFmtId="0" fillId="2" borderId="13" applyFont="1" applyNumberFormat="0" applyFill="0" applyBorder="1" applyAlignment="1">
      <alignment horizontal="center" vertical="center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165" fillId="2" borderId="0" applyFont="0" applyNumberFormat="1" applyFill="0" applyBorder="0" applyAlignment="0">
      <alignment horizontal="general" vertical="bottom" textRotation="0" wrapText="false" shrinkToFit="false"/>
    </xf>
    <xf xfId="0" fontId="0" numFmtId="21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true" shrinkToFit="false"/>
    </xf>
    <xf xfId="0" fontId="0" numFmtId="0" fillId="2" borderId="35" applyFont="0" applyNumberFormat="0" applyFill="0" applyBorder="1" applyAlignment="0">
      <alignment horizontal="general" vertical="bottom" textRotation="0" wrapText="false" shrinkToFit="false"/>
    </xf>
    <xf xfId="0" fontId="0" numFmtId="0" fillId="2" borderId="36" applyFont="0" applyNumberFormat="0" applyFill="0" applyBorder="1" applyAlignment="0">
      <alignment horizontal="general" vertical="bottom" textRotation="0" wrapText="false" shrinkToFit="false"/>
    </xf>
    <xf xfId="0" fontId="0" numFmtId="49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false" shrinkToFit="false"/>
    </xf>
    <xf xfId="0" fontId="0" numFmtId="1" fillId="2" borderId="37" applyFont="0" applyNumberFormat="1" applyFill="0" applyBorder="1" applyAlignment="0">
      <alignment horizontal="general" vertical="bottom" textRotation="0" wrapText="false" shrinkToFit="false"/>
    </xf>
    <xf xfId="0" fontId="0" numFmtId="0" fillId="2" borderId="38" applyFont="0" applyNumberFormat="0" applyFill="0" applyBorder="1" applyAlignment="1">
      <alignment horizontal="center" vertical="bottom" textRotation="0" wrapText="true" shrinkToFit="false"/>
    </xf>
    <xf xfId="0" fontId="0" numFmtId="0" fillId="2" borderId="39" applyFont="0" applyNumberFormat="0" applyFill="0" applyBorder="1" applyAlignment="1">
      <alignment horizontal="center" vertical="bottom" textRotation="0" wrapText="false" shrinkToFit="false"/>
    </xf>
    <xf xfId="0" fontId="0" numFmtId="1" fillId="2" borderId="40" applyFont="0" applyNumberFormat="1" applyFill="0" applyBorder="1" applyAlignment="0">
      <alignment horizontal="general" vertical="bottom" textRotation="0" wrapText="false" shrinkToFit="false"/>
    </xf>
    <xf xfId="0" fontId="0" numFmtId="0" fillId="2" borderId="12" applyFont="0" applyNumberFormat="0" applyFill="0" applyBorder="1" applyAlignment="1">
      <alignment horizontal="center" vertical="bottom" textRotation="0" wrapText="true" shrinkToFit="false"/>
    </xf>
    <xf xfId="0" fontId="0" numFmtId="0" fillId="2" borderId="41" applyFont="0" applyNumberFormat="0" applyFill="0" applyBorder="1" applyAlignment="1">
      <alignment horizontal="center" vertical="bottom" textRotation="0" wrapText="true" shrinkToFit="false"/>
    </xf>
    <xf xfId="0" fontId="0" numFmtId="0" fillId="2" borderId="42" applyFont="0" applyNumberFormat="0" applyFill="0" applyBorder="1" applyAlignment="1">
      <alignment horizontal="center" vertical="bottom" textRotation="0" wrapText="tru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5" borderId="36" applyFont="0" applyNumberFormat="0" applyFill="1" applyBorder="1" applyAlignment="1">
      <alignment horizontal="center" vertical="bottom" textRotation="0" wrapText="false" shrinkToFit="false"/>
    </xf>
    <xf xfId="0" fontId="0" numFmtId="0" fillId="5" borderId="43" applyFont="0" applyNumberFormat="0" applyFill="1" applyBorder="1" applyAlignment="1">
      <alignment horizontal="center" vertical="bottom" textRotation="0" wrapText="false" shrinkToFit="false"/>
    </xf>
    <xf xfId="0" fontId="0" numFmtId="0" fillId="4" borderId="43" applyFont="0" applyNumberFormat="0" applyFill="1" applyBorder="1" applyAlignment="1">
      <alignment horizontal="left" vertical="bottom" textRotation="0" wrapText="false" shrinkToFit="false"/>
    </xf>
    <xf xfId="0" fontId="0" numFmtId="0" fillId="4" borderId="37" applyFont="0" applyNumberFormat="0" applyFill="1" applyBorder="1" applyAlignment="1">
      <alignment horizontal="center" vertical="bottom" textRotation="0" wrapText="false" shrinkToFit="false"/>
    </xf>
    <xf xfId="0" fontId="0" numFmtId="0" fillId="4" borderId="44" applyFont="0" applyNumberFormat="0" applyFill="1" applyBorder="1" applyAlignment="1">
      <alignment horizontal="center" vertical="bottom" textRotation="0" wrapText="false" shrinkToFit="false"/>
    </xf>
    <xf xfId="0" fontId="0" numFmtId="0" fillId="4" borderId="44" applyFont="0" applyNumberFormat="0" applyFill="1" applyBorder="1" applyAlignment="1">
      <alignment horizontal="left" vertical="bottom" textRotation="0" wrapText="false" shrinkToFit="false"/>
    </xf>
    <xf xfId="0" fontId="0" numFmtId="0" fillId="4" borderId="37" applyFont="0" applyNumberFormat="0" applyFill="1" applyBorder="1" applyAlignment="0">
      <alignment horizontal="general" vertical="bottom" textRotation="0" wrapText="false" shrinkToFit="false"/>
    </xf>
    <xf xfId="0" fontId="0" numFmtId="0" fillId="4" borderId="44" applyFont="0" applyNumberFormat="0" applyFill="1" applyBorder="1" applyAlignment="0">
      <alignment horizontal="general" vertical="bottom" textRotation="0" wrapText="false" shrinkToFit="false"/>
    </xf>
    <xf xfId="0" fontId="0" numFmtId="0" fillId="4" borderId="34" applyFont="0" applyNumberFormat="0" applyFill="1" applyBorder="1" applyAlignment="0">
      <alignment horizontal="general" vertical="bottom" textRotation="0" wrapText="false" shrinkToFit="false"/>
    </xf>
    <xf xfId="0" fontId="0" numFmtId="0" fillId="2" borderId="40" applyFont="0" applyNumberFormat="0" applyFill="0" applyBorder="1" applyAlignment="0">
      <alignment horizontal="general" vertical="bottom" textRotation="0" wrapText="false" shrinkToFit="false"/>
    </xf>
    <xf xfId="0" fontId="0" numFmtId="0" fillId="2" borderId="45" applyFont="0" applyNumberFormat="0" applyFill="0" applyBorder="1" applyAlignment="0">
      <alignment horizontal="general" vertical="bottom" textRotation="0" wrapText="false" shrinkToFit="false"/>
    </xf>
    <xf xfId="0" fontId="0" numFmtId="2" fillId="2" borderId="45" applyFont="0" applyNumberFormat="1" applyFill="0" applyBorder="1" applyAlignment="1">
      <alignment horizontal="center" vertical="bottom" textRotation="0" wrapText="false" shrinkToFit="false"/>
    </xf>
    <xf xfId="0" fontId="0" numFmtId="0" fillId="2" borderId="46" applyFont="0" applyNumberFormat="0" applyFill="0" applyBorder="1" applyAlignment="0">
      <alignment horizontal="general" vertical="bottom" textRotation="0" wrapText="false" shrinkToFit="false"/>
    </xf>
    <xf xfId="0" fontId="0" numFmtId="0" fillId="2" borderId="47" applyFont="0" applyNumberFormat="0" applyFill="0" applyBorder="1" applyAlignment="0">
      <alignment horizontal="general" vertical="bottom" textRotation="0" wrapText="false" shrinkToFit="false"/>
    </xf>
    <xf xfId="0" fontId="0" numFmtId="0" fillId="2" borderId="48" applyFont="0" applyNumberFormat="0" applyFill="0" applyBorder="1" applyAlignment="0">
      <alignment horizontal="general" vertical="bottom" textRotation="0" wrapText="false" shrinkToFit="false"/>
    </xf>
    <xf xfId="0" fontId="0" numFmtId="0" fillId="4" borderId="36" applyFont="0" applyNumberFormat="0" applyFill="1" applyBorder="1" applyAlignment="0">
      <alignment horizontal="general" vertical="bottom" textRotation="0" wrapText="false" shrinkToFit="false"/>
    </xf>
    <xf xfId="0" fontId="0" numFmtId="0" fillId="4" borderId="43" applyFont="0" applyNumberFormat="0" applyFill="1" applyBorder="1" applyAlignment="0">
      <alignment horizontal="general" vertical="bottom" textRotation="0" wrapText="false" shrinkToFit="false"/>
    </xf>
    <xf xfId="0" fontId="0" numFmtId="0" fillId="4" borderId="39" applyFont="0" applyNumberFormat="0" applyFill="1" applyBorder="1" applyAlignment="0">
      <alignment horizontal="general" vertical="bottom" textRotation="0" wrapText="false" shrinkToFit="false"/>
    </xf>
    <xf xfId="0" fontId="0" numFmtId="0" fillId="2" borderId="37" applyFont="0" applyNumberFormat="0" applyFill="0" applyBorder="1" applyAlignment="1">
      <alignment horizontal="center" vertical="bottom" textRotation="0" wrapText="true" shrinkToFit="false"/>
    </xf>
    <xf xfId="0" fontId="0" numFmtId="0" fillId="2" borderId="44" applyFont="0" applyNumberFormat="0" applyFill="0" applyBorder="1" applyAlignment="1">
      <alignment horizontal="center" vertical="bottom" textRotation="0" wrapText="false" shrinkToFit="false"/>
    </xf>
    <xf xfId="0" fontId="0" numFmtId="0" fillId="2" borderId="44" applyFont="0" applyNumberFormat="0" applyFill="0" applyBorder="1" applyAlignment="1">
      <alignment horizontal="center" vertical="bottom" textRotation="0" wrapText="true" shrinkToFit="false"/>
    </xf>
    <xf xfId="0" fontId="0" numFmtId="0" fillId="4" borderId="40" applyFont="0" applyNumberFormat="0" applyFill="1" applyBorder="1" applyAlignment="0">
      <alignment horizontal="general" vertical="bottom" textRotation="0" wrapText="false" shrinkToFit="false"/>
    </xf>
    <xf xfId="0" fontId="0" numFmtId="0" fillId="4" borderId="45" applyFont="0" applyNumberFormat="0" applyFill="1" applyBorder="1" applyAlignment="0">
      <alignment horizontal="general" vertical="bottom" textRotation="0" wrapText="false" shrinkToFit="false"/>
    </xf>
    <xf xfId="0" fontId="0" numFmtId="0" fillId="4" borderId="35" applyFont="0" applyNumberFormat="0" applyFill="1" applyBorder="1" applyAlignment="0">
      <alignment horizontal="general" vertical="bottom" textRotation="0" wrapText="false" shrinkToFit="false"/>
    </xf>
    <xf xfId="0" fontId="0" numFmtId="2" fillId="2" borderId="44" applyFont="0" applyNumberFormat="1" applyFill="0" applyBorder="1" applyAlignment="1">
      <alignment horizontal="left" vertical="bottom" textRotation="0" wrapText="false" shrinkToFit="false"/>
    </xf>
    <xf xfId="0" fontId="0" numFmtId="0" fillId="2" borderId="42" applyFont="0" applyNumberFormat="0" applyFill="0" applyBorder="1" applyAlignment="1">
      <alignment horizontal="center" vertical="bottom" textRotation="0" wrapText="false" shrinkToFit="false"/>
    </xf>
    <xf xfId="0" fontId="0" numFmtId="0" fillId="2" borderId="14" applyFont="0" applyNumberFormat="0" applyFill="0" applyBorder="1" applyAlignment="1">
      <alignment horizontal="center" vertical="bottom" textRotation="0" wrapText="false" shrinkToFit="false"/>
    </xf>
    <xf xfId="0" fontId="4" numFmtId="0" fillId="2" borderId="43" applyFont="1" applyNumberFormat="0" applyFill="0" applyBorder="1" applyAlignment="1">
      <alignment horizontal="left" vertical="bottom" textRotation="0" wrapText="false" shrinkToFit="false"/>
    </xf>
    <xf xfId="0" fontId="4" numFmtId="0" fillId="2" borderId="43" applyFont="1" applyNumberFormat="0" applyFill="0" applyBorder="1" applyAlignment="1">
      <alignment horizontal="center" vertical="bottom" textRotation="0" wrapText="false" shrinkToFit="false"/>
    </xf>
    <xf xfId="0" fontId="4" numFmtId="0" fillId="2" borderId="39" applyFont="1" applyNumberFormat="0" applyFill="0" applyBorder="1" applyAlignment="1">
      <alignment horizontal="center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false" shrinkToFit="false"/>
    </xf>
    <xf xfId="0" fontId="0" numFmtId="2" fillId="2" borderId="45" applyFont="0" applyNumberFormat="1" applyFill="0" applyBorder="1" applyAlignment="1">
      <alignment horizontal="left" vertical="bottom" textRotation="0" wrapText="false" shrinkToFit="false"/>
    </xf>
    <xf xfId="0" fontId="0" numFmtId="0" fillId="2" borderId="49" applyFont="0" applyNumberFormat="0" applyFill="0" applyBorder="1" applyAlignment="1">
      <alignment horizontal="center" vertical="bottom" textRotation="0" wrapText="false" shrinkToFit="false"/>
    </xf>
    <xf xfId="0" fontId="0" numFmtId="0" fillId="2" borderId="17" applyFont="0" applyNumberFormat="0" applyFill="0" applyBorder="1" applyAlignment="1">
      <alignment horizontal="center" vertical="bottom" textRotation="0" wrapText="false" shrinkToFit="false"/>
    </xf>
    <xf xfId="0" fontId="5" numFmtId="166" fillId="2" borderId="13" applyFont="1" applyNumberFormat="1" applyFill="0" applyBorder="1" applyAlignment="1">
      <alignment horizontal="center" vertical="bottom" textRotation="0" wrapText="false" shrinkToFit="false"/>
    </xf>
    <xf xfId="0" fontId="1" numFmtId="167" fillId="2" borderId="0" applyFont="1" applyNumberFormat="1" applyFill="0" applyBorder="0" applyAlignment="0">
      <alignment horizontal="general" vertical="bottom" textRotation="0" wrapText="false" shrinkToFit="false"/>
    </xf>
    <xf xfId="0" fontId="0" numFmtId="168" fillId="2" borderId="0" applyFont="0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microsoft.com/office/2006/relationships/vbaProject" Target="vbaProject.bin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1.png"/></Relationship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85725</xdr:colOff>
      <xdr:row>3</xdr:row>
      <xdr:rowOff>85725</xdr:rowOff>
    </xdr:from>
    <xdr:ext cx="933450" cy="466725"/>
    <xdr:pic>
      <xdr:nvPicPr>
        <xdr:cNvPr id="1" name="Picture 2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/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X2"/>
  <sheetViews>
    <sheetView tabSelected="1" workbookViewId="0" showGridLines="true" showRowColHeaders="1">
      <selection activeCell="U2" sqref="U2"/>
    </sheetView>
  </sheetViews>
  <sheetFormatPr defaultRowHeight="14.4" outlineLevelRow="0" outlineLevelCol="0"/>
  <cols>
    <col min="1" max="1" width="4" customWidth="true" style="52"/>
    <col min="2" max="2" width="9.28515625" customWidth="true" style="52"/>
    <col min="3" max="3" width="18.7109375" customWidth="true" style="52"/>
    <col min="4" max="4" width="25.85546875" customWidth="true" style="52"/>
    <col min="5" max="5" width="11.5703125" customWidth="true" style="52"/>
    <col min="6" max="6" width="18" customWidth="true" style="52"/>
    <col min="7" max="7" width="7.85546875" customWidth="true" style="52"/>
    <col min="8" max="8" width="11.85546875" customWidth="true" style="52"/>
    <col min="9" max="9" width="15" customWidth="true" style="52"/>
    <col min="10" max="10" width="5.85546875" customWidth="true" style="52"/>
    <col min="11" max="11" width="9.5703125" customWidth="true" style="52"/>
    <col min="12" max="12" width="8.140625" customWidth="true" style="52"/>
    <col min="13" max="13" width="6.28515625" customWidth="true" style="52"/>
    <col min="14" max="14" width="10.42578125" customWidth="true" style="52"/>
    <col min="15" max="15" width="10.42578125" customWidth="true" style="52"/>
    <col min="16" max="16" width="10.140625" customWidth="true" style="52"/>
    <col min="17" max="17" width="9.5703125" customWidth="true" style="52"/>
    <col min="18" max="18" width="6" customWidth="true" style="52"/>
    <col min="19" max="19" width="12" customWidth="true" style="52"/>
    <col min="20" max="20" width="11.42578125" customWidth="true" style="52"/>
    <col min="21" max="21" width="18" customWidth="true" style="52"/>
    <col min="22" max="22" width="12.7109375" customWidth="true" style="52"/>
    <col min="23" max="23" width="9.140625" customWidth="true" style="52"/>
    <col min="24" max="24" width="9.140625" customWidth="true" style="52"/>
  </cols>
  <sheetData>
    <row r="1" spans="1:24">
      <c r="A1" s="52" t="s">
        <v>0</v>
      </c>
      <c r="B1" s="52" t="s">
        <v>1</v>
      </c>
      <c r="C1" s="52" t="s">
        <v>2</v>
      </c>
      <c r="D1" s="52" t="s">
        <v>3</v>
      </c>
      <c r="E1" s="52" t="s">
        <v>4</v>
      </c>
      <c r="F1" s="52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52" t="s">
        <v>19</v>
      </c>
      <c r="U1" s="52" t="s">
        <v>20</v>
      </c>
      <c r="V1" s="52" t="s">
        <v>21</v>
      </c>
    </row>
    <row r="2" spans="1:24">
      <c r="A2" s="52">
        <v>51899</v>
      </c>
      <c r="B2" s="52">
        <v>1018</v>
      </c>
      <c r="C2" s="52" t="s">
        <v>22</v>
      </c>
      <c r="D2" s="52" t="s">
        <v>23</v>
      </c>
      <c r="E2" s="52">
        <v>1</v>
      </c>
      <c r="F2" s="52">
        <v>0</v>
      </c>
      <c r="G2" s="53" t="s">
        <v>24</v>
      </c>
      <c r="H2" s="53" t="s">
        <v>25</v>
      </c>
      <c r="I2" s="53"/>
      <c r="J2" s="53" t="s">
        <v>24</v>
      </c>
      <c r="K2" s="54">
        <v>12</v>
      </c>
      <c r="L2" s="58">
        <v>511</v>
      </c>
      <c r="M2" s="52" t="s">
        <v>26</v>
      </c>
      <c r="N2" s="104">
        <v>44682</v>
      </c>
      <c r="O2" s="104">
        <v>44712</v>
      </c>
      <c r="P2" s="54">
        <v>25569</v>
      </c>
      <c r="Q2" s="54">
        <v>25569.999988426</v>
      </c>
      <c r="R2" s="54" t="s">
        <v>27</v>
      </c>
      <c r="S2" s="53">
        <v>0</v>
      </c>
      <c r="T2" s="104">
        <v>44562</v>
      </c>
      <c r="U2" s="104">
        <v>44712.999988426</v>
      </c>
      <c r="V2" s="52" t="s">
        <v>28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1">
    <outlinePr summaryBelow="1" summaryRight="1"/>
  </sheetPr>
  <dimension ref="A1:F26"/>
  <sheetViews>
    <sheetView tabSelected="0" workbookViewId="0" showGridLines="true" showRowColHeaders="1">
      <selection activeCell="F32" sqref="F32"/>
    </sheetView>
  </sheetViews>
  <sheetFormatPr defaultRowHeight="14.4" outlineLevelRow="0" outlineLevelCol="0"/>
  <cols>
    <col min="1" max="1" width="2.140625" customWidth="true" style="0"/>
    <col min="2" max="2" width="4" customWidth="true" style="0"/>
    <col min="3" max="3" width="25.7109375" customWidth="true" style="0"/>
    <col min="4" max="4" width="25.7109375" customWidth="true" style="0"/>
    <col min="5" max="5" width="3.5703125" customWidth="true" style="0"/>
    <col min="6" max="6" width="25.7109375" customWidth="true" style="0"/>
  </cols>
  <sheetData>
    <row r="1" spans="1:6" customHeight="1" ht="15.75"/>
    <row r="2" spans="1:6">
      <c r="B2" s="68" t="s">
        <v>29</v>
      </c>
      <c r="C2" s="69"/>
      <c r="D2" s="70" t="s">
        <v>30</v>
      </c>
      <c r="E2" s="70"/>
      <c r="F2" s="62"/>
    </row>
    <row r="3" spans="1:6">
      <c r="B3" s="71"/>
      <c r="C3" s="72"/>
      <c r="D3" s="73" t="s">
        <v>31</v>
      </c>
      <c r="E3" s="73"/>
      <c r="F3" s="59"/>
    </row>
    <row r="4" spans="1:6">
      <c r="B4" s="74" t="s">
        <v>32</v>
      </c>
      <c r="C4" s="75"/>
      <c r="D4" s="75"/>
      <c r="E4" s="75"/>
      <c r="F4" s="76"/>
    </row>
    <row r="5" spans="1:6">
      <c r="B5" s="74" t="s">
        <v>33</v>
      </c>
      <c r="C5" s="75"/>
      <c r="D5" s="75"/>
      <c r="E5" s="75"/>
      <c r="F5" s="76"/>
    </row>
    <row r="6" spans="1:6" customHeight="1" ht="15.75">
      <c r="B6" s="77" t="s">
        <v>34</v>
      </c>
      <c r="C6" s="78"/>
      <c r="D6" s="79"/>
      <c r="E6" s="79"/>
      <c r="F6" s="56"/>
    </row>
    <row r="7" spans="1:6" customHeight="1" ht="15.75">
      <c r="B7" s="80"/>
      <c r="C7" s="81"/>
      <c r="D7" s="81"/>
      <c r="E7" s="81"/>
      <c r="F7" s="82"/>
    </row>
    <row r="8" spans="1:6">
      <c r="B8" s="83" t="s">
        <v>35</v>
      </c>
      <c r="C8" s="84"/>
      <c r="D8" s="84"/>
      <c r="E8" s="84"/>
      <c r="F8" s="85"/>
    </row>
    <row r="9" spans="1:6" customHeight="1" ht="30">
      <c r="B9" s="86" t="s">
        <v>36</v>
      </c>
      <c r="C9" s="87"/>
      <c r="D9" s="88" t="s">
        <v>37</v>
      </c>
      <c r="E9" s="87"/>
      <c r="F9" s="55" t="s">
        <v>38</v>
      </c>
    </row>
    <row r="10" spans="1:6" customHeight="1" ht="30" hidden="true">
      <c r="B10" s="64"/>
      <c r="C10" s="65"/>
      <c r="D10" s="66">
        <v>99</v>
      </c>
      <c r="E10" s="65"/>
      <c r="F10" s="61">
        <v>95</v>
      </c>
    </row>
    <row r="11" spans="1:6" customHeight="1" ht="30" hidden="true">
      <c r="B11" s="64">
        <v>6</v>
      </c>
      <c r="C11" s="65"/>
      <c r="D11" s="66">
        <v>3</v>
      </c>
      <c r="E11" s="65"/>
      <c r="F11" s="61">
        <v>0</v>
      </c>
    </row>
    <row r="12" spans="1:6" customHeight="1" ht="15.75">
      <c r="B12" s="89" t="s">
        <v>39</v>
      </c>
      <c r="C12" s="90"/>
      <c r="D12" s="90"/>
      <c r="E12" s="90"/>
      <c r="F12" s="91"/>
    </row>
    <row r="13" spans="1:6" customHeight="1" ht="15.75">
      <c r="B13" s="67"/>
      <c r="C13" s="67"/>
      <c r="D13" s="67"/>
      <c r="E13" s="67"/>
      <c r="F13" s="67"/>
    </row>
    <row r="14" spans="1:6">
      <c r="B14" s="57"/>
      <c r="C14" s="95" t="s">
        <v>40</v>
      </c>
      <c r="D14" s="95"/>
      <c r="E14" s="96" t="s">
        <v>41</v>
      </c>
      <c r="F14" s="97"/>
    </row>
    <row r="15" spans="1:6">
      <c r="B15" s="60">
        <v>1</v>
      </c>
      <c r="C15" s="92"/>
      <c r="D15" s="92"/>
      <c r="E15" s="87" t="str">
        <f>IF(C15&lt;$F$10,$F$11,IF(C15&lt;$D$10,$D$11,$B$11))</f>
        <v>0</v>
      </c>
      <c r="F15" s="98"/>
    </row>
    <row r="16" spans="1:6">
      <c r="B16" s="60">
        <v>2</v>
      </c>
      <c r="C16" s="92"/>
      <c r="D16" s="92"/>
      <c r="E16" s="93" t="str">
        <f>IF(C16&lt;$F$10,$F$11,IF(C16&lt;$D$10,$D$11,$B$11))</f>
        <v>0</v>
      </c>
      <c r="F16" s="94"/>
    </row>
    <row r="17" spans="1:6">
      <c r="B17" s="60">
        <v>3</v>
      </c>
      <c r="C17" s="92"/>
      <c r="D17" s="92"/>
      <c r="E17" s="93" t="str">
        <f>IF(C17&lt;$F$10,$F$11,IF(C17&lt;$D$10,$D$11,$B$11))</f>
        <v>0</v>
      </c>
      <c r="F17" s="94"/>
    </row>
    <row r="18" spans="1:6">
      <c r="B18" s="60">
        <v>4</v>
      </c>
      <c r="C18" s="92"/>
      <c r="D18" s="92"/>
      <c r="E18" s="93" t="str">
        <f>IF(C18&lt;$F$10,$F$11,IF(C18&lt;$D$10,$D$11,$B$11))</f>
        <v>0</v>
      </c>
      <c r="F18" s="94"/>
    </row>
    <row r="19" spans="1:6">
      <c r="B19" s="60">
        <v>5</v>
      </c>
      <c r="C19" s="92"/>
      <c r="D19" s="92"/>
      <c r="E19" s="93" t="str">
        <f>IF(C19&lt;$F$10,$F$11,IF(C19&lt;$D$10,$D$11,$B$11))</f>
        <v>0</v>
      </c>
      <c r="F19" s="94"/>
    </row>
    <row r="20" spans="1:6">
      <c r="B20" s="60">
        <v>6</v>
      </c>
      <c r="C20" s="92"/>
      <c r="D20" s="92"/>
      <c r="E20" s="93" t="str">
        <f>IF(C20&lt;$F$10,$F$11,IF(C20&lt;$D$10,$D$11,$B$11))</f>
        <v>0</v>
      </c>
      <c r="F20" s="94"/>
    </row>
    <row r="21" spans="1:6">
      <c r="B21" s="60">
        <v>7</v>
      </c>
      <c r="C21" s="92"/>
      <c r="D21" s="92"/>
      <c r="E21" s="93" t="str">
        <f>IF(C21&lt;$F$10,$F$11,IF(C21&lt;$D$10,$D$11,$B$11))</f>
        <v>0</v>
      </c>
      <c r="F21" s="94"/>
    </row>
    <row r="22" spans="1:6">
      <c r="B22" s="60">
        <v>8</v>
      </c>
      <c r="C22" s="92"/>
      <c r="D22" s="92"/>
      <c r="E22" s="93" t="str">
        <f>IF(C22&lt;$F$10,$F$11,IF(C22&lt;$D$10,$D$11,$B$11))</f>
        <v>0</v>
      </c>
      <c r="F22" s="94"/>
    </row>
    <row r="23" spans="1:6">
      <c r="B23" s="60">
        <v>9</v>
      </c>
      <c r="C23" s="92"/>
      <c r="D23" s="92"/>
      <c r="E23" s="93" t="str">
        <f>IF(C23&lt;$F$10,$F$11,IF(C23&lt;$D$10,$D$11,$B$11))</f>
        <v>0</v>
      </c>
      <c r="F23" s="94"/>
    </row>
    <row r="24" spans="1:6">
      <c r="B24" s="60">
        <v>10</v>
      </c>
      <c r="C24" s="92"/>
      <c r="D24" s="92"/>
      <c r="E24" s="93" t="str">
        <f>IF(C24&lt;$F$10,$F$11,IF(C24&lt;$D$10,$D$11,$B$11))</f>
        <v>0</v>
      </c>
      <c r="F24" s="94"/>
    </row>
    <row r="25" spans="1:6">
      <c r="B25" s="60">
        <v>11</v>
      </c>
      <c r="C25" s="92"/>
      <c r="D25" s="92"/>
      <c r="E25" s="93" t="str">
        <f>IF(C25&lt;$F$10,$F$11,IF(C25&lt;$D$10,$D$11,$B$11))</f>
        <v>0</v>
      </c>
      <c r="F25" s="94"/>
    </row>
    <row r="26" spans="1:6" customHeight="1" ht="15.75">
      <c r="B26" s="63">
        <v>12</v>
      </c>
      <c r="C26" s="99"/>
      <c r="D26" s="99"/>
      <c r="E26" s="100" t="str">
        <f>IF(C26&lt;$F$10,$F$11,IF(C26&lt;$D$10,$D$11,$B$11))</f>
        <v>0</v>
      </c>
      <c r="F26" s="101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C26:D26"/>
    <mergeCell ref="E26:F26"/>
    <mergeCell ref="C23:D23"/>
    <mergeCell ref="E23:F23"/>
    <mergeCell ref="C24:D24"/>
    <mergeCell ref="E24:F24"/>
    <mergeCell ref="C21:D21"/>
    <mergeCell ref="E21:F21"/>
    <mergeCell ref="C22:D22"/>
    <mergeCell ref="E22:F22"/>
    <mergeCell ref="C25:D25"/>
    <mergeCell ref="E25:F25"/>
    <mergeCell ref="B11:C11"/>
    <mergeCell ref="D11:E11"/>
    <mergeCell ref="C19:D19"/>
    <mergeCell ref="E19:F19"/>
    <mergeCell ref="C20:D20"/>
    <mergeCell ref="E20:F20"/>
    <mergeCell ref="C14:D14"/>
    <mergeCell ref="E14:F14"/>
    <mergeCell ref="C15:D15"/>
    <mergeCell ref="E15:F15"/>
    <mergeCell ref="C16:D16"/>
    <mergeCell ref="E16:F16"/>
    <mergeCell ref="C17:D17"/>
    <mergeCell ref="E17:F17"/>
    <mergeCell ref="C18:D18"/>
    <mergeCell ref="E18:F18"/>
    <mergeCell ref="B10:C10"/>
    <mergeCell ref="D10:E10"/>
    <mergeCell ref="B13:F13"/>
    <mergeCell ref="B2:C2"/>
    <mergeCell ref="D2:E2"/>
    <mergeCell ref="B3:C3"/>
    <mergeCell ref="D3:E3"/>
    <mergeCell ref="B4:F4"/>
    <mergeCell ref="B6:C6"/>
    <mergeCell ref="D6:E6"/>
    <mergeCell ref="B5:F5"/>
    <mergeCell ref="B7:F7"/>
    <mergeCell ref="B8:F8"/>
    <mergeCell ref="B9:C9"/>
    <mergeCell ref="D9:E9"/>
    <mergeCell ref="B12:F12"/>
  </mergeCell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JG31"/>
  <sheetViews>
    <sheetView tabSelected="0" workbookViewId="0" showGridLines="true" showRowColHeaders="1">
      <selection activeCell="D15" sqref="D15"/>
    </sheetView>
  </sheetViews>
  <sheetFormatPr defaultRowHeight="14.4" outlineLevelRow="0" outlineLevelCol="0"/>
  <cols>
    <col min="1" max="1" width="7.85546875" hidden="true" customWidth="true" style="1"/>
    <col min="2" max="2" width="6.5703125" hidden="true" customWidth="true" style="1"/>
    <col min="3" max="3" width="15.5703125" hidden="true" customWidth="true" style="1"/>
    <col min="4" max="4" width="15.5703125" hidden="true" customWidth="true" style="1"/>
    <col min="5" max="5" width="3.5703125" customWidth="true" style="1"/>
    <col min="6" max="6" width="5" customWidth="true" style="1"/>
    <col min="7" max="7" width="5.5703125" customWidth="true" style="1"/>
    <col min="8" max="8" width="5.5703125" customWidth="true" style="1"/>
    <col min="9" max="9" width="5.5703125" customWidth="true" style="1"/>
    <col min="10" max="10" width="5.5703125" customWidth="true" style="1"/>
    <col min="11" max="11" width="5.5703125" customWidth="true" style="1"/>
    <col min="12" max="12" width="5.5703125" customWidth="true" style="1"/>
    <col min="13" max="13" width="5.5703125" customWidth="true" style="1"/>
    <col min="14" max="14" width="5.5703125" customWidth="true" style="1"/>
    <col min="15" max="15" width="5.5703125" customWidth="true" style="1"/>
    <col min="16" max="16" width="5.5703125" customWidth="true" style="1"/>
    <col min="17" max="17" width="5.5703125" customWidth="true" style="1"/>
    <col min="18" max="18" width="5.5703125" customWidth="true" style="1"/>
    <col min="19" max="19" width="5.5703125" customWidth="true" style="1"/>
    <col min="20" max="20" width="5.5703125" customWidth="true" style="1"/>
    <col min="21" max="21" width="5.5703125" customWidth="true" style="1"/>
    <col min="22" max="22" width="5.5703125" customWidth="true" style="1"/>
    <col min="23" max="23" width="5.5703125" customWidth="true" style="1"/>
    <col min="24" max="24" width="5.5703125" customWidth="true" style="1"/>
    <col min="25" max="25" width="5.5703125" customWidth="true" style="1"/>
    <col min="264" max="264" width="5.5703125" customWidth="true" style="1"/>
    <col min="265" max="265" width="9.42578125" customWidth="true" style="1"/>
    <col min="266" max="266" width="9.140625" customWidth="true" style="1"/>
    <col min="26" max="26" width="5.5703125" customWidth="true" style="0"/>
    <col min="27" max="27" width="5.5703125" customWidth="true" style="0"/>
    <col min="28" max="28" width="5.5703125" customWidth="true" style="0"/>
    <col min="29" max="29" width="5.5703125" customWidth="true" style="0"/>
    <col min="30" max="30" width="5.5703125" customWidth="true" style="0"/>
    <col min="31" max="31" width="5.5703125" customWidth="true" style="0"/>
    <col min="32" max="32" width="5.5703125" customWidth="true" style="0"/>
    <col min="33" max="33" width="5.5703125" customWidth="true" style="0"/>
    <col min="34" max="34" width="5.5703125" customWidth="true" style="0"/>
    <col min="35" max="35" width="5.5703125" customWidth="true" style="0"/>
    <col min="36" max="36" width="5.5703125" customWidth="true" style="0"/>
    <col min="37" max="37" width="5.5703125" customWidth="true" style="0"/>
    <col min="38" max="38" width="5.5703125" customWidth="true" style="0"/>
    <col min="39" max="39" width="5.5703125" customWidth="true" style="0"/>
    <col min="40" max="40" width="5.5703125" customWidth="true" style="0"/>
    <col min="41" max="41" width="5.5703125" customWidth="true" style="0"/>
    <col min="42" max="42" width="5.5703125" customWidth="true" style="0"/>
    <col min="43" max="43" width="5.5703125" customWidth="true" style="0"/>
    <col min="44" max="44" width="5.5703125" customWidth="true" style="0"/>
    <col min="45" max="45" width="5.5703125" customWidth="true" style="0"/>
    <col min="46" max="46" width="5.5703125" customWidth="true" style="0"/>
    <col min="47" max="47" width="5.5703125" customWidth="true" style="0"/>
    <col min="48" max="48" width="5.5703125" customWidth="true" style="0"/>
    <col min="49" max="49" width="5.5703125" customWidth="true" style="0"/>
    <col min="50" max="50" width="5.5703125" customWidth="true" style="0"/>
    <col min="51" max="51" width="5.5703125" customWidth="true" style="0"/>
    <col min="52" max="52" width="5.5703125" customWidth="true" style="0"/>
    <col min="53" max="53" width="5.5703125" customWidth="true" style="0"/>
    <col min="54" max="54" width="5.5703125" customWidth="true" style="0"/>
    <col min="55" max="55" width="5.5703125" customWidth="true" style="0"/>
    <col min="56" max="56" width="5.5703125" customWidth="true" style="0"/>
    <col min="57" max="57" width="5.5703125" customWidth="true" style="0"/>
    <col min="58" max="58" width="5.5703125" customWidth="true" style="0"/>
    <col min="59" max="59" width="5.5703125" customWidth="true" style="0"/>
    <col min="60" max="60" width="5.5703125" customWidth="true" style="0"/>
    <col min="61" max="61" width="5.5703125" customWidth="true" style="0"/>
    <col min="62" max="62" width="5.5703125" customWidth="true" style="0"/>
    <col min="63" max="63" width="5.5703125" customWidth="true" style="0"/>
    <col min="64" max="64" width="5.5703125" customWidth="true" style="0"/>
    <col min="65" max="65" width="5.5703125" customWidth="true" style="0"/>
    <col min="66" max="66" width="5.5703125" customWidth="true" style="0"/>
    <col min="67" max="67" width="5.5703125" customWidth="true" style="0"/>
    <col min="68" max="68" width="5.5703125" customWidth="true" style="0"/>
    <col min="69" max="69" width="5.5703125" customWidth="true" style="0"/>
    <col min="70" max="70" width="5.5703125" customWidth="true" style="0"/>
    <col min="71" max="71" width="5.5703125" customWidth="true" style="0"/>
    <col min="72" max="72" width="5.5703125" customWidth="true" style="0"/>
    <col min="73" max="73" width="5.5703125" customWidth="true" style="0"/>
    <col min="74" max="74" width="5.5703125" customWidth="true" style="0"/>
    <col min="75" max="75" width="5.5703125" customWidth="true" style="0"/>
    <col min="76" max="76" width="5.5703125" customWidth="true" style="0"/>
    <col min="77" max="77" width="5.5703125" customWidth="true" style="0"/>
    <col min="78" max="78" width="5.5703125" customWidth="true" style="0"/>
    <col min="79" max="79" width="5.5703125" customWidth="true" style="0"/>
    <col min="80" max="80" width="5.5703125" customWidth="true" style="0"/>
    <col min="81" max="81" width="5.5703125" customWidth="true" style="0"/>
    <col min="82" max="82" width="5.5703125" customWidth="true" style="0"/>
    <col min="83" max="83" width="5.5703125" customWidth="true" style="0"/>
    <col min="84" max="84" width="5.5703125" customWidth="true" style="0"/>
    <col min="85" max="85" width="5.5703125" customWidth="true" style="0"/>
    <col min="86" max="86" width="5.5703125" customWidth="true" style="0"/>
    <col min="87" max="87" width="5.5703125" customWidth="true" style="0"/>
    <col min="88" max="88" width="5.5703125" customWidth="true" style="0"/>
    <col min="89" max="89" width="5.5703125" customWidth="true" style="0"/>
    <col min="90" max="90" width="5.5703125" customWidth="true" style="0"/>
    <col min="91" max="91" width="5.5703125" customWidth="true" style="0"/>
    <col min="92" max="92" width="5.5703125" customWidth="true" style="0"/>
    <col min="93" max="93" width="5.5703125" customWidth="true" style="0"/>
    <col min="94" max="94" width="5.5703125" customWidth="true" style="0"/>
    <col min="95" max="95" width="5.5703125" customWidth="true" style="0"/>
    <col min="96" max="96" width="5.5703125" customWidth="true" style="0"/>
    <col min="97" max="97" width="5.5703125" customWidth="true" style="0"/>
    <col min="98" max="98" width="5.5703125" customWidth="true" style="0"/>
    <col min="99" max="99" width="5.5703125" customWidth="true" style="0"/>
    <col min="100" max="100" width="5.5703125" customWidth="true" style="0"/>
    <col min="101" max="101" width="5.5703125" customWidth="true" style="0"/>
    <col min="102" max="102" width="5.5703125" customWidth="true" style="0"/>
    <col min="103" max="103" width="5.5703125" customWidth="true" style="0"/>
    <col min="104" max="104" width="5.5703125" customWidth="true" style="0"/>
    <col min="105" max="105" width="5.5703125" customWidth="true" style="0"/>
    <col min="106" max="106" width="5.5703125" customWidth="true" style="0"/>
    <col min="107" max="107" width="5.5703125" customWidth="true" style="0"/>
    <col min="108" max="108" width="5.5703125" customWidth="true" style="0"/>
    <col min="109" max="109" width="5.5703125" customWidth="true" style="0"/>
    <col min="110" max="110" width="5.5703125" customWidth="true" style="0"/>
    <col min="111" max="111" width="5.5703125" customWidth="true" style="0"/>
    <col min="112" max="112" width="5.5703125" customWidth="true" style="0"/>
    <col min="113" max="113" width="5.5703125" customWidth="true" style="0"/>
    <col min="114" max="114" width="5.5703125" customWidth="true" style="0"/>
    <col min="115" max="115" width="5.5703125" customWidth="true" style="0"/>
    <col min="116" max="116" width="5.5703125" customWidth="true" style="0"/>
    <col min="117" max="117" width="5.5703125" customWidth="true" style="0"/>
    <col min="118" max="118" width="5.5703125" customWidth="true" style="0"/>
    <col min="119" max="119" width="5.5703125" customWidth="true" style="0"/>
    <col min="120" max="120" width="5.5703125" customWidth="true" style="0"/>
    <col min="121" max="121" width="5.5703125" customWidth="true" style="0"/>
    <col min="122" max="122" width="5.5703125" customWidth="true" style="0"/>
    <col min="123" max="123" width="5.5703125" customWidth="true" style="0"/>
    <col min="124" max="124" width="5.5703125" customWidth="true" style="0"/>
    <col min="125" max="125" width="5.5703125" customWidth="true" style="0"/>
    <col min="126" max="126" width="5.5703125" customWidth="true" style="0"/>
    <col min="127" max="127" width="5.5703125" customWidth="true" style="0"/>
    <col min="128" max="128" width="5.5703125" customWidth="true" style="0"/>
    <col min="129" max="129" width="5.5703125" customWidth="true" style="0"/>
    <col min="130" max="130" width="5.5703125" customWidth="true" style="0"/>
    <col min="131" max="131" width="5.5703125" customWidth="true" style="0"/>
    <col min="132" max="132" width="5.5703125" customWidth="true" style="0"/>
    <col min="133" max="133" width="5.5703125" customWidth="true" style="0"/>
    <col min="134" max="134" width="5.5703125" customWidth="true" style="0"/>
    <col min="135" max="135" width="5.5703125" customWidth="true" style="0"/>
    <col min="136" max="136" width="5.5703125" customWidth="true" style="0"/>
    <col min="137" max="137" width="5.5703125" customWidth="true" style="0"/>
    <col min="138" max="138" width="5.5703125" customWidth="true" style="0"/>
    <col min="139" max="139" width="5.5703125" customWidth="true" style="0"/>
    <col min="140" max="140" width="5.5703125" customWidth="true" style="0"/>
    <col min="141" max="141" width="5.5703125" customWidth="true" style="0"/>
    <col min="142" max="142" width="5.5703125" customWidth="true" style="0"/>
    <col min="143" max="143" width="5.5703125" customWidth="true" style="0"/>
    <col min="144" max="144" width="5.5703125" customWidth="true" style="0"/>
    <col min="145" max="145" width="5.5703125" customWidth="true" style="0"/>
    <col min="146" max="146" width="5.5703125" customWidth="true" style="0"/>
    <col min="147" max="147" width="5.5703125" customWidth="true" style="0"/>
    <col min="148" max="148" width="5.5703125" customWidth="true" style="0"/>
    <col min="149" max="149" width="5.5703125" customWidth="true" style="0"/>
    <col min="150" max="150" width="5.5703125" customWidth="true" style="0"/>
    <col min="151" max="151" width="5.5703125" customWidth="true" style="0"/>
    <col min="152" max="152" width="5.5703125" customWidth="true" style="0"/>
    <col min="153" max="153" width="5.5703125" customWidth="true" style="0"/>
    <col min="154" max="154" width="5.5703125" customWidth="true" style="0"/>
    <col min="155" max="155" width="5.5703125" customWidth="true" style="0"/>
    <col min="156" max="156" width="5.5703125" customWidth="true" style="0"/>
    <col min="157" max="157" width="5.5703125" customWidth="true" style="0"/>
    <col min="158" max="158" width="5.5703125" customWidth="true" style="0"/>
    <col min="159" max="159" width="5.5703125" customWidth="true" style="0"/>
    <col min="160" max="160" width="5.5703125" customWidth="true" style="0"/>
    <col min="161" max="161" width="5.5703125" customWidth="true" style="0"/>
    <col min="162" max="162" width="5.5703125" customWidth="true" style="0"/>
    <col min="163" max="163" width="5.5703125" customWidth="true" style="0"/>
    <col min="164" max="164" width="5.5703125" customWidth="true" style="0"/>
    <col min="165" max="165" width="5.5703125" customWidth="true" style="0"/>
    <col min="166" max="166" width="5.5703125" customWidth="true" style="0"/>
    <col min="167" max="167" width="5.5703125" customWidth="true" style="0"/>
    <col min="168" max="168" width="5.5703125" customWidth="true" style="0"/>
    <col min="169" max="169" width="5.5703125" customWidth="true" style="0"/>
    <col min="170" max="170" width="5.5703125" customWidth="true" style="0"/>
    <col min="171" max="171" width="5.5703125" customWidth="true" style="0"/>
    <col min="172" max="172" width="5.5703125" customWidth="true" style="0"/>
    <col min="173" max="173" width="5.5703125" customWidth="true" style="0"/>
    <col min="174" max="174" width="5.5703125" customWidth="true" style="0"/>
    <col min="175" max="175" width="5.5703125" customWidth="true" style="0"/>
    <col min="176" max="176" width="5.5703125" customWidth="true" style="0"/>
    <col min="177" max="177" width="5.5703125" customWidth="true" style="0"/>
    <col min="178" max="178" width="5.5703125" customWidth="true" style="0"/>
    <col min="179" max="179" width="5.5703125" customWidth="true" style="0"/>
    <col min="180" max="180" width="5.5703125" customWidth="true" style="0"/>
    <col min="181" max="181" width="5.5703125" customWidth="true" style="0"/>
    <col min="182" max="182" width="5.5703125" customWidth="true" style="0"/>
    <col min="183" max="183" width="5.5703125" customWidth="true" style="0"/>
    <col min="184" max="184" width="5.5703125" customWidth="true" style="0"/>
    <col min="185" max="185" width="5.5703125" customWidth="true" style="0"/>
    <col min="186" max="186" width="5.5703125" customWidth="true" style="0"/>
    <col min="187" max="187" width="5.5703125" customWidth="true" style="0"/>
    <col min="188" max="188" width="5.5703125" customWidth="true" style="0"/>
    <col min="189" max="189" width="5.5703125" customWidth="true" style="0"/>
    <col min="190" max="190" width="5.5703125" customWidth="true" style="0"/>
    <col min="191" max="191" width="5.5703125" customWidth="true" style="0"/>
    <col min="192" max="192" width="5.5703125" customWidth="true" style="0"/>
    <col min="193" max="193" width="5.5703125" customWidth="true" style="0"/>
    <col min="194" max="194" width="5.5703125" customWidth="true" style="0"/>
    <col min="195" max="195" width="5.5703125" customWidth="true" style="0"/>
    <col min="196" max="196" width="5.5703125" customWidth="true" style="0"/>
    <col min="197" max="197" width="5.5703125" customWidth="true" style="0"/>
    <col min="198" max="198" width="5.5703125" customWidth="true" style="0"/>
    <col min="199" max="199" width="5.5703125" customWidth="true" style="0"/>
    <col min="200" max="200" width="5.5703125" customWidth="true" style="0"/>
    <col min="201" max="201" width="5.5703125" customWidth="true" style="0"/>
    <col min="202" max="202" width="5.5703125" customWidth="true" style="0"/>
    <col min="203" max="203" width="5.5703125" customWidth="true" style="0"/>
    <col min="204" max="204" width="5.5703125" customWidth="true" style="0"/>
    <col min="205" max="205" width="5.5703125" customWidth="true" style="0"/>
    <col min="206" max="206" width="5.5703125" customWidth="true" style="0"/>
    <col min="207" max="207" width="5.5703125" customWidth="true" style="0"/>
    <col min="208" max="208" width="5.5703125" customWidth="true" style="0"/>
    <col min="209" max="209" width="5.5703125" customWidth="true" style="0"/>
    <col min="210" max="210" width="5.5703125" customWidth="true" style="0"/>
    <col min="211" max="211" width="5.5703125" customWidth="true" style="0"/>
    <col min="212" max="212" width="5.5703125" customWidth="true" style="0"/>
    <col min="213" max="213" width="5.5703125" customWidth="true" style="0"/>
    <col min="214" max="214" width="5.5703125" customWidth="true" style="0"/>
    <col min="215" max="215" width="5.5703125" customWidth="true" style="0"/>
    <col min="216" max="216" width="5.5703125" customWidth="true" style="0"/>
    <col min="217" max="217" width="5.5703125" customWidth="true" style="0"/>
    <col min="218" max="218" width="5.5703125" customWidth="true" style="0"/>
    <col min="219" max="219" width="5.5703125" customWidth="true" style="0"/>
    <col min="220" max="220" width="5.5703125" customWidth="true" style="0"/>
    <col min="221" max="221" width="5.5703125" customWidth="true" style="0"/>
    <col min="222" max="222" width="5.5703125" customWidth="true" style="0"/>
    <col min="223" max="223" width="5.5703125" customWidth="true" style="0"/>
    <col min="224" max="224" width="5.5703125" customWidth="true" style="0"/>
    <col min="225" max="225" width="5.5703125" customWidth="true" style="0"/>
    <col min="226" max="226" width="5.5703125" customWidth="true" style="0"/>
    <col min="227" max="227" width="5.5703125" customWidth="true" style="0"/>
    <col min="228" max="228" width="5.5703125" customWidth="true" style="0"/>
    <col min="229" max="229" width="5.5703125" customWidth="true" style="0"/>
    <col min="230" max="230" width="5.5703125" customWidth="true" style="0"/>
    <col min="231" max="231" width="5.5703125" customWidth="true" style="0"/>
    <col min="232" max="232" width="5.5703125" customWidth="true" style="0"/>
    <col min="233" max="233" width="5.5703125" customWidth="true" style="0"/>
    <col min="234" max="234" width="5.5703125" customWidth="true" style="0"/>
    <col min="235" max="235" width="5.5703125" customWidth="true" style="0"/>
    <col min="236" max="236" width="5.5703125" customWidth="true" style="0"/>
    <col min="237" max="237" width="5.5703125" customWidth="true" style="0"/>
    <col min="238" max="238" width="5.5703125" customWidth="true" style="0"/>
    <col min="239" max="239" width="5.5703125" customWidth="true" style="0"/>
    <col min="240" max="240" width="5.5703125" customWidth="true" style="0"/>
    <col min="241" max="241" width="5.5703125" customWidth="true" style="0"/>
    <col min="242" max="242" width="5.5703125" customWidth="true" style="0"/>
    <col min="243" max="243" width="5.5703125" customWidth="true" style="0"/>
    <col min="244" max="244" width="5.5703125" customWidth="true" style="0"/>
    <col min="245" max="245" width="5.5703125" customWidth="true" style="0"/>
    <col min="246" max="246" width="5.5703125" customWidth="true" style="0"/>
    <col min="247" max="247" width="5.5703125" customWidth="true" style="0"/>
    <col min="248" max="248" width="5.5703125" customWidth="true" style="0"/>
    <col min="249" max="249" width="5.5703125" customWidth="true" style="0"/>
    <col min="250" max="250" width="5.5703125" customWidth="true" style="0"/>
    <col min="251" max="251" width="5.5703125" customWidth="true" style="0"/>
    <col min="252" max="252" width="5.5703125" customWidth="true" style="0"/>
    <col min="253" max="253" width="5.5703125" customWidth="true" style="0"/>
    <col min="254" max="254" width="5.5703125" customWidth="true" style="0"/>
    <col min="255" max="255" width="5.5703125" customWidth="true" style="0"/>
    <col min="256" max="256" width="5.5703125" customWidth="true" style="0"/>
    <col min="257" max="257" width="5.5703125" customWidth="true" style="0"/>
    <col min="258" max="258" width="5.5703125" customWidth="true" style="0"/>
    <col min="259" max="259" width="5.5703125" customWidth="true" style="0"/>
    <col min="260" max="260" width="5.5703125" customWidth="true" style="0"/>
    <col min="261" max="261" width="5.5703125" customWidth="true" style="0"/>
    <col min="262" max="262" width="5.5703125" customWidth="true" style="0"/>
    <col min="263" max="263" width="5.5703125" customWidth="true" style="0"/>
  </cols>
  <sheetData>
    <row r="1" spans="1:267" hidden="true">
      <c r="A1" s="1" t="s">
        <v>42</v>
      </c>
      <c r="B1" s="1" t="s">
        <v>43</v>
      </c>
      <c r="C1" s="1" t="s">
        <v>44</v>
      </c>
      <c r="D1" s="1" t="s">
        <v>45</v>
      </c>
      <c r="E1" s="1"/>
      <c r="F1" s="1" t="s">
        <v>46</v>
      </c>
      <c r="G1" s="1" t="s">
        <v>47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 t="s">
        <v>48</v>
      </c>
      <c r="JE1" s="1"/>
      <c r="JF1" s="1"/>
      <c r="JG1"/>
    </row>
    <row r="2" spans="1:267" hidden="true">
      <c r="A2" s="1" t="s">
        <v>49</v>
      </c>
      <c r="JB2" t="s">
        <v>50</v>
      </c>
    </row>
    <row r="3" spans="1:267" customHeight="1" ht="8.25">
      <c r="A3" s="1"/>
    </row>
    <row r="4" spans="1:267" customHeight="1" ht="18.75">
      <c r="A4" s="1"/>
      <c r="F4" s="12"/>
      <c r="G4" s="13" t="str">
        <f>IF(REPDEF!E2=1,"Availability Reporting",IF(REPDEF!E2=2,"Operationality Reporting","AMS Mode Reporting"))</f>
        <v>0</v>
      </c>
      <c r="H4" s="13"/>
      <c r="I4" s="13"/>
      <c r="J4" s="13"/>
      <c r="K4" s="14" t="str">
        <f>REPDEF!C2</f>
        <v>0</v>
      </c>
      <c r="L4" s="13"/>
      <c r="M4" s="13"/>
      <c r="N4" s="13"/>
      <c r="O4" s="13"/>
      <c r="P4" s="13"/>
      <c r="Q4" s="13"/>
      <c r="R4" s="13"/>
      <c r="S4" s="13"/>
      <c r="T4" s="13"/>
      <c r="U4" s="13"/>
      <c r="V4" s="7"/>
      <c r="W4" s="3"/>
      <c r="X4" s="4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5"/>
    </row>
    <row r="5" spans="1:267" customHeight="1" ht="15.75">
      <c r="A5" s="1"/>
      <c r="F5" s="16"/>
      <c r="G5" s="17"/>
      <c r="H5" s="17"/>
      <c r="I5" s="17"/>
      <c r="J5" s="17"/>
      <c r="K5" s="102" t="str">
        <f>REPDEF!T2</f>
        <v>0</v>
      </c>
      <c r="L5" s="102"/>
      <c r="M5" s="51" t="s">
        <v>51</v>
      </c>
      <c r="N5" s="102" t="str">
        <f>REPDEF!U2</f>
        <v>0</v>
      </c>
      <c r="O5" s="102"/>
      <c r="P5" s="17"/>
      <c r="Q5" s="17"/>
      <c r="R5" s="17"/>
      <c r="S5" s="17"/>
      <c r="T5" s="17"/>
      <c r="U5" s="17"/>
      <c r="V5" s="8"/>
      <c r="W5" s="2"/>
      <c r="X5" s="9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17"/>
      <c r="GO5" s="17"/>
      <c r="GP5" s="17"/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18"/>
    </row>
    <row r="6" spans="1:267" customHeight="1" ht="15.75">
      <c r="A6" s="1"/>
      <c r="F6" s="19"/>
      <c r="G6" s="20" t="s">
        <v>52</v>
      </c>
      <c r="H6" s="20"/>
      <c r="I6" s="20" t="str">
        <f>REPDEF!G2</f>
        <v>0</v>
      </c>
      <c r="J6" s="20"/>
      <c r="K6" s="20"/>
      <c r="L6" s="21" t="str">
        <f>REPDEF!P2</f>
        <v>0</v>
      </c>
      <c r="M6" s="44" t="s">
        <v>51</v>
      </c>
      <c r="N6" s="21" t="str">
        <f>REPDEF!Q2</f>
        <v>0</v>
      </c>
      <c r="O6" s="20"/>
      <c r="P6" s="20"/>
      <c r="Q6" s="20"/>
      <c r="R6" s="20"/>
      <c r="S6" s="20"/>
      <c r="T6" s="20"/>
      <c r="U6" s="20"/>
      <c r="V6" s="10"/>
      <c r="W6" s="5"/>
      <c r="X6" s="11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/>
      <c r="IY6" s="20"/>
      <c r="IZ6" s="20"/>
      <c r="JA6" s="20"/>
      <c r="JB6" s="20"/>
      <c r="JC6" s="20"/>
      <c r="JD6" s="22"/>
    </row>
    <row r="7" spans="1:267" customHeight="1" ht="5.25">
      <c r="A7" s="1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</row>
    <row r="8" spans="1:267" customHeight="1" ht="122.1">
      <c r="A8" s="1" t="s">
        <v>53</v>
      </c>
      <c r="F8" s="29" t="s">
        <v>54</v>
      </c>
      <c r="G8" s="28" t="s">
        <v>55</v>
      </c>
      <c r="H8" s="23" t="s">
        <v>56</v>
      </c>
      <c r="I8" s="23" t="s">
        <v>57</v>
      </c>
      <c r="J8" s="23" t="s">
        <v>58</v>
      </c>
      <c r="K8" s="23" t="s">
        <v>59</v>
      </c>
      <c r="L8" s="23" t="s">
        <v>60</v>
      </c>
      <c r="M8" s="23" t="s">
        <v>61</v>
      </c>
      <c r="N8" s="23" t="s">
        <v>62</v>
      </c>
      <c r="O8" s="23" t="s">
        <v>63</v>
      </c>
      <c r="P8" s="23" t="s">
        <v>64</v>
      </c>
      <c r="Q8" s="23" t="s">
        <v>65</v>
      </c>
      <c r="R8" s="23" t="s">
        <v>66</v>
      </c>
      <c r="S8" s="23" t="s">
        <v>67</v>
      </c>
      <c r="T8" s="23" t="s">
        <v>68</v>
      </c>
      <c r="U8" s="23" t="s">
        <v>69</v>
      </c>
      <c r="V8" s="23" t="s">
        <v>70</v>
      </c>
      <c r="W8" s="23" t="s">
        <v>71</v>
      </c>
      <c r="X8" s="23" t="s">
        <v>72</v>
      </c>
      <c r="Y8" s="23" t="s">
        <v>73</v>
      </c>
      <c r="Z8" s="23" t="s">
        <v>74</v>
      </c>
      <c r="AA8" s="23" t="s">
        <v>75</v>
      </c>
      <c r="AB8" s="23" t="s">
        <v>76</v>
      </c>
      <c r="AC8" s="23" t="s">
        <v>77</v>
      </c>
      <c r="AD8" s="23" t="s">
        <v>78</v>
      </c>
      <c r="AE8" s="23" t="s">
        <v>79</v>
      </c>
      <c r="AF8" s="23" t="s">
        <v>80</v>
      </c>
      <c r="AG8" s="23" t="s">
        <v>81</v>
      </c>
      <c r="AH8" s="23" t="s">
        <v>82</v>
      </c>
      <c r="AI8" s="23" t="s">
        <v>83</v>
      </c>
      <c r="AJ8" s="23" t="s">
        <v>84</v>
      </c>
      <c r="AK8" s="23" t="s">
        <v>85</v>
      </c>
      <c r="AL8" s="23" t="s">
        <v>86</v>
      </c>
      <c r="AM8" s="23" t="s">
        <v>87</v>
      </c>
      <c r="AN8" s="23" t="s">
        <v>88</v>
      </c>
      <c r="AO8" s="23" t="s">
        <v>89</v>
      </c>
      <c r="AP8" s="23" t="s">
        <v>90</v>
      </c>
      <c r="AQ8" s="23" t="s">
        <v>91</v>
      </c>
      <c r="AR8" s="23" t="s">
        <v>92</v>
      </c>
      <c r="AS8" s="23" t="s">
        <v>93</v>
      </c>
      <c r="AT8" s="23" t="s">
        <v>94</v>
      </c>
      <c r="AU8" s="23" t="s">
        <v>95</v>
      </c>
      <c r="AV8" s="23" t="s">
        <v>96</v>
      </c>
      <c r="AW8" s="23" t="s">
        <v>97</v>
      </c>
      <c r="AX8" s="23" t="s">
        <v>98</v>
      </c>
      <c r="AY8" s="23" t="s">
        <v>99</v>
      </c>
      <c r="AZ8" s="23" t="s">
        <v>100</v>
      </c>
      <c r="BA8" s="23" t="s">
        <v>101</v>
      </c>
      <c r="BB8" s="23" t="s">
        <v>102</v>
      </c>
      <c r="BC8" s="23" t="s">
        <v>103</v>
      </c>
      <c r="BD8" s="23" t="s">
        <v>104</v>
      </c>
      <c r="BE8" s="23" t="s">
        <v>105</v>
      </c>
      <c r="BF8" s="23" t="s">
        <v>106</v>
      </c>
      <c r="BG8" s="23" t="s">
        <v>107</v>
      </c>
      <c r="BH8" s="23" t="s">
        <v>108</v>
      </c>
      <c r="BI8" s="23" t="s">
        <v>109</v>
      </c>
      <c r="BJ8" s="23" t="s">
        <v>110</v>
      </c>
      <c r="BK8" s="23" t="s">
        <v>111</v>
      </c>
      <c r="BL8" s="23" t="s">
        <v>112</v>
      </c>
      <c r="BM8" s="23" t="s">
        <v>113</v>
      </c>
      <c r="BN8" s="23" t="s">
        <v>114</v>
      </c>
      <c r="BO8" s="23" t="s">
        <v>115</v>
      </c>
      <c r="BP8" s="23" t="s">
        <v>116</v>
      </c>
      <c r="BQ8" s="23" t="s">
        <v>117</v>
      </c>
      <c r="BR8" s="23" t="s">
        <v>118</v>
      </c>
      <c r="BS8" s="23" t="s">
        <v>119</v>
      </c>
      <c r="BT8" s="23" t="s">
        <v>120</v>
      </c>
      <c r="BU8" s="23" t="s">
        <v>121</v>
      </c>
      <c r="BV8" s="23" t="s">
        <v>122</v>
      </c>
      <c r="BW8" s="23" t="s">
        <v>123</v>
      </c>
      <c r="BX8" s="23" t="s">
        <v>124</v>
      </c>
      <c r="BY8" s="23" t="s">
        <v>125</v>
      </c>
      <c r="BZ8" s="23" t="s">
        <v>126</v>
      </c>
      <c r="CA8" s="23" t="s">
        <v>127</v>
      </c>
      <c r="CB8" s="23" t="s">
        <v>128</v>
      </c>
      <c r="CC8" s="23" t="s">
        <v>129</v>
      </c>
      <c r="CD8" s="23" t="s">
        <v>130</v>
      </c>
      <c r="CE8" s="23" t="s">
        <v>131</v>
      </c>
      <c r="CF8" s="23" t="s">
        <v>132</v>
      </c>
      <c r="CG8" s="23" t="s">
        <v>133</v>
      </c>
      <c r="CH8" s="23" t="s">
        <v>134</v>
      </c>
      <c r="CI8" s="23" t="s">
        <v>135</v>
      </c>
      <c r="CJ8" s="23" t="s">
        <v>136</v>
      </c>
      <c r="CK8" s="23" t="s">
        <v>137</v>
      </c>
      <c r="CL8" s="23" t="s">
        <v>138</v>
      </c>
      <c r="CM8" s="23" t="s">
        <v>139</v>
      </c>
      <c r="CN8" s="23" t="s">
        <v>140</v>
      </c>
      <c r="CO8" s="23" t="s">
        <v>141</v>
      </c>
      <c r="CP8" s="23" t="s">
        <v>142</v>
      </c>
      <c r="CQ8" s="23" t="s">
        <v>143</v>
      </c>
      <c r="CR8" s="23" t="s">
        <v>144</v>
      </c>
      <c r="CS8" s="23" t="s">
        <v>145</v>
      </c>
      <c r="CT8" s="23" t="s">
        <v>146</v>
      </c>
      <c r="CU8" s="23" t="s">
        <v>147</v>
      </c>
      <c r="CV8" s="23" t="s">
        <v>148</v>
      </c>
      <c r="CW8" s="23" t="s">
        <v>149</v>
      </c>
      <c r="CX8" s="23" t="s">
        <v>150</v>
      </c>
      <c r="CY8" s="23" t="s">
        <v>151</v>
      </c>
      <c r="CZ8" s="23" t="s">
        <v>152</v>
      </c>
      <c r="DA8" s="23" t="s">
        <v>153</v>
      </c>
      <c r="DB8" s="23" t="s">
        <v>154</v>
      </c>
      <c r="DC8" s="23" t="s">
        <v>155</v>
      </c>
      <c r="DD8" s="23" t="s">
        <v>156</v>
      </c>
      <c r="DE8" s="23" t="s">
        <v>157</v>
      </c>
      <c r="DF8" s="23" t="s">
        <v>158</v>
      </c>
      <c r="DG8" s="23" t="s">
        <v>159</v>
      </c>
      <c r="DH8" s="23" t="s">
        <v>160</v>
      </c>
      <c r="DI8" s="23" t="s">
        <v>161</v>
      </c>
      <c r="DJ8" s="23" t="s">
        <v>162</v>
      </c>
      <c r="DK8" s="23" t="s">
        <v>163</v>
      </c>
      <c r="DL8" s="23" t="s">
        <v>164</v>
      </c>
      <c r="DM8" s="23" t="s">
        <v>165</v>
      </c>
      <c r="DN8" s="23" t="s">
        <v>166</v>
      </c>
      <c r="DO8" s="23" t="s">
        <v>167</v>
      </c>
      <c r="DP8" s="23" t="s">
        <v>168</v>
      </c>
      <c r="DQ8" s="23" t="s">
        <v>169</v>
      </c>
      <c r="DR8" s="23" t="s">
        <v>170</v>
      </c>
      <c r="DS8" s="23" t="s">
        <v>171</v>
      </c>
      <c r="DT8" s="23" t="s">
        <v>172</v>
      </c>
      <c r="DU8" s="23" t="s">
        <v>173</v>
      </c>
      <c r="DV8" s="23" t="s">
        <v>174</v>
      </c>
      <c r="DW8" s="23" t="s">
        <v>175</v>
      </c>
      <c r="DX8" s="23" t="s">
        <v>176</v>
      </c>
      <c r="DY8" s="23" t="s">
        <v>177</v>
      </c>
      <c r="DZ8" s="23" t="s">
        <v>178</v>
      </c>
      <c r="EA8" s="23" t="s">
        <v>179</v>
      </c>
      <c r="EB8" s="23" t="s">
        <v>180</v>
      </c>
      <c r="EC8" s="23" t="s">
        <v>181</v>
      </c>
      <c r="ED8" s="23" t="s">
        <v>182</v>
      </c>
      <c r="EE8" s="23" t="s">
        <v>183</v>
      </c>
      <c r="EF8" s="23" t="s">
        <v>184</v>
      </c>
      <c r="EG8" s="23" t="s">
        <v>185</v>
      </c>
      <c r="EH8" s="23" t="s">
        <v>186</v>
      </c>
      <c r="EI8" s="23" t="s">
        <v>187</v>
      </c>
      <c r="EJ8" s="23" t="s">
        <v>188</v>
      </c>
      <c r="EK8" s="23" t="s">
        <v>189</v>
      </c>
      <c r="EL8" s="23" t="s">
        <v>190</v>
      </c>
      <c r="EM8" s="23" t="s">
        <v>191</v>
      </c>
      <c r="EN8" s="23" t="s">
        <v>192</v>
      </c>
      <c r="EO8" s="23" t="s">
        <v>193</v>
      </c>
      <c r="EP8" s="23" t="s">
        <v>194</v>
      </c>
      <c r="EQ8" s="23" t="s">
        <v>195</v>
      </c>
      <c r="ER8" s="23" t="s">
        <v>196</v>
      </c>
      <c r="ES8" s="23" t="s">
        <v>197</v>
      </c>
      <c r="ET8" s="23" t="s">
        <v>198</v>
      </c>
      <c r="EU8" s="23" t="s">
        <v>199</v>
      </c>
      <c r="EV8" s="23" t="s">
        <v>200</v>
      </c>
      <c r="EW8" s="23" t="s">
        <v>201</v>
      </c>
      <c r="EX8" s="23" t="s">
        <v>202</v>
      </c>
      <c r="EY8" s="23" t="s">
        <v>203</v>
      </c>
      <c r="EZ8" s="23" t="s">
        <v>204</v>
      </c>
      <c r="FA8" s="23" t="s">
        <v>205</v>
      </c>
      <c r="FB8" s="23" t="s">
        <v>206</v>
      </c>
      <c r="FC8" s="23" t="s">
        <v>207</v>
      </c>
      <c r="FD8" s="23" t="s">
        <v>208</v>
      </c>
      <c r="FE8" s="23" t="s">
        <v>209</v>
      </c>
      <c r="FF8" s="23" t="s">
        <v>210</v>
      </c>
      <c r="FG8" s="23" t="s">
        <v>211</v>
      </c>
      <c r="FH8" s="23" t="s">
        <v>212</v>
      </c>
      <c r="FI8" s="23" t="s">
        <v>213</v>
      </c>
      <c r="FJ8" s="23" t="s">
        <v>214</v>
      </c>
      <c r="FK8" s="23" t="s">
        <v>215</v>
      </c>
      <c r="FL8" s="23" t="s">
        <v>216</v>
      </c>
      <c r="FM8" s="23" t="s">
        <v>217</v>
      </c>
      <c r="FN8" s="23" t="s">
        <v>218</v>
      </c>
      <c r="FO8" s="23" t="s">
        <v>219</v>
      </c>
      <c r="FP8" s="23" t="s">
        <v>220</v>
      </c>
      <c r="FQ8" s="23" t="s">
        <v>221</v>
      </c>
      <c r="FR8" s="23" t="s">
        <v>222</v>
      </c>
      <c r="FS8" s="23" t="s">
        <v>223</v>
      </c>
      <c r="FT8" s="23" t="s">
        <v>224</v>
      </c>
      <c r="FU8" s="23" t="s">
        <v>225</v>
      </c>
      <c r="FV8" s="23" t="s">
        <v>226</v>
      </c>
      <c r="FW8" s="23" t="s">
        <v>227</v>
      </c>
      <c r="FX8" s="23" t="s">
        <v>228</v>
      </c>
      <c r="FY8" s="23" t="s">
        <v>229</v>
      </c>
      <c r="FZ8" s="23" t="s">
        <v>230</v>
      </c>
      <c r="GA8" s="23" t="s">
        <v>231</v>
      </c>
      <c r="GB8" s="23" t="s">
        <v>232</v>
      </c>
      <c r="GC8" s="23" t="s">
        <v>233</v>
      </c>
      <c r="GD8" s="23" t="s">
        <v>234</v>
      </c>
      <c r="GE8" s="23" t="s">
        <v>235</v>
      </c>
      <c r="GF8" s="23" t="s">
        <v>236</v>
      </c>
      <c r="GG8" s="23" t="s">
        <v>237</v>
      </c>
      <c r="GH8" s="23" t="s">
        <v>238</v>
      </c>
      <c r="GI8" s="23" t="s">
        <v>239</v>
      </c>
      <c r="GJ8" s="23" t="s">
        <v>240</v>
      </c>
      <c r="GK8" s="23" t="s">
        <v>241</v>
      </c>
      <c r="GL8" s="23" t="s">
        <v>242</v>
      </c>
      <c r="GM8" s="23" t="s">
        <v>243</v>
      </c>
      <c r="GN8" s="23" t="s">
        <v>244</v>
      </c>
      <c r="GO8" s="23" t="s">
        <v>245</v>
      </c>
      <c r="GP8" s="23" t="s">
        <v>246</v>
      </c>
      <c r="GQ8" s="23" t="s">
        <v>247</v>
      </c>
      <c r="GR8" s="23" t="s">
        <v>248</v>
      </c>
      <c r="GS8" s="23" t="s">
        <v>249</v>
      </c>
      <c r="GT8" s="23" t="s">
        <v>250</v>
      </c>
      <c r="GU8" s="23" t="s">
        <v>251</v>
      </c>
      <c r="GV8" s="23" t="s">
        <v>252</v>
      </c>
      <c r="GW8" s="23" t="s">
        <v>253</v>
      </c>
      <c r="GX8" s="23" t="s">
        <v>254</v>
      </c>
      <c r="GY8" s="23" t="s">
        <v>255</v>
      </c>
      <c r="GZ8" s="23" t="s">
        <v>256</v>
      </c>
      <c r="HA8" s="23" t="s">
        <v>257</v>
      </c>
      <c r="HB8" s="23" t="s">
        <v>258</v>
      </c>
      <c r="HC8" s="23" t="s">
        <v>259</v>
      </c>
      <c r="HD8" s="23" t="s">
        <v>260</v>
      </c>
      <c r="HE8" s="23" t="s">
        <v>261</v>
      </c>
      <c r="HF8" s="23" t="s">
        <v>262</v>
      </c>
      <c r="HG8" s="23" t="s">
        <v>263</v>
      </c>
      <c r="HH8" s="23" t="s">
        <v>264</v>
      </c>
      <c r="HI8" s="23" t="s">
        <v>265</v>
      </c>
      <c r="HJ8" s="23" t="s">
        <v>266</v>
      </c>
      <c r="HK8" s="23" t="s">
        <v>267</v>
      </c>
      <c r="HL8" s="23" t="s">
        <v>268</v>
      </c>
      <c r="HM8" s="23" t="s">
        <v>269</v>
      </c>
      <c r="HN8" s="23" t="s">
        <v>270</v>
      </c>
      <c r="HO8" s="23" t="s">
        <v>271</v>
      </c>
      <c r="HP8" s="23" t="s">
        <v>272</v>
      </c>
      <c r="HQ8" s="23" t="s">
        <v>273</v>
      </c>
      <c r="HR8" s="23" t="s">
        <v>274</v>
      </c>
      <c r="HS8" s="23" t="s">
        <v>275</v>
      </c>
      <c r="HT8" s="23" t="s">
        <v>276</v>
      </c>
      <c r="HU8" s="23" t="s">
        <v>277</v>
      </c>
      <c r="HV8" s="23" t="s">
        <v>278</v>
      </c>
      <c r="HW8" s="23" t="s">
        <v>279</v>
      </c>
      <c r="HX8" s="23" t="s">
        <v>280</v>
      </c>
      <c r="HY8" s="23" t="s">
        <v>281</v>
      </c>
      <c r="HZ8" s="23" t="s">
        <v>282</v>
      </c>
      <c r="IA8" s="23" t="s">
        <v>283</v>
      </c>
      <c r="IB8" s="23" t="s">
        <v>284</v>
      </c>
      <c r="IC8" s="23" t="s">
        <v>285</v>
      </c>
      <c r="ID8" s="23" t="s">
        <v>286</v>
      </c>
      <c r="IE8" s="23" t="s">
        <v>287</v>
      </c>
      <c r="IF8" s="23" t="s">
        <v>288</v>
      </c>
      <c r="IG8" s="23" t="s">
        <v>289</v>
      </c>
      <c r="IH8" s="23" t="s">
        <v>290</v>
      </c>
      <c r="II8" s="23" t="s">
        <v>291</v>
      </c>
      <c r="IJ8" s="23" t="s">
        <v>292</v>
      </c>
      <c r="IK8" s="23" t="s">
        <v>293</v>
      </c>
      <c r="IL8" s="23" t="s">
        <v>294</v>
      </c>
      <c r="IM8" s="23" t="s">
        <v>295</v>
      </c>
      <c r="IN8" s="23" t="s">
        <v>296</v>
      </c>
      <c r="IO8" s="23" t="s">
        <v>297</v>
      </c>
      <c r="IP8" s="23" t="s">
        <v>298</v>
      </c>
      <c r="IQ8" s="23" t="s">
        <v>299</v>
      </c>
      <c r="IR8" s="23" t="s">
        <v>300</v>
      </c>
      <c r="IS8" s="23" t="s">
        <v>301</v>
      </c>
      <c r="IT8" s="23" t="s">
        <v>302</v>
      </c>
      <c r="IU8" s="23" t="s">
        <v>303</v>
      </c>
      <c r="IV8" s="23" t="s">
        <v>304</v>
      </c>
      <c r="IW8" s="23" t="s">
        <v>305</v>
      </c>
      <c r="IX8" s="23" t="s">
        <v>306</v>
      </c>
      <c r="IY8" s="23" t="s">
        <v>307</v>
      </c>
      <c r="IZ8" s="23" t="s">
        <v>308</v>
      </c>
      <c r="JA8" s="23" t="s">
        <v>309</v>
      </c>
      <c r="JB8" s="23" t="s">
        <v>310</v>
      </c>
      <c r="JC8" s="23"/>
      <c r="JD8" s="24"/>
    </row>
    <row r="9" spans="1:267" hidden="true">
      <c r="A9" s="1" t="s">
        <v>311</v>
      </c>
      <c r="F9" s="25" t="s">
        <v>311</v>
      </c>
      <c r="G9" s="45">
        <v>98</v>
      </c>
      <c r="H9" s="46">
        <v>98</v>
      </c>
      <c r="I9" s="46">
        <v>98</v>
      </c>
      <c r="J9" s="46">
        <v>98</v>
      </c>
      <c r="K9" s="46">
        <v>98</v>
      </c>
      <c r="L9" s="46">
        <v>98</v>
      </c>
      <c r="M9" s="46">
        <v>98</v>
      </c>
      <c r="N9" s="46">
        <v>98</v>
      </c>
      <c r="O9" s="46">
        <v>98</v>
      </c>
      <c r="P9" s="46">
        <v>98</v>
      </c>
      <c r="Q9" s="46">
        <v>98</v>
      </c>
      <c r="R9" s="46">
        <v>98</v>
      </c>
      <c r="S9" s="46">
        <v>98</v>
      </c>
      <c r="T9" s="46">
        <v>98</v>
      </c>
      <c r="U9" s="46">
        <v>98</v>
      </c>
      <c r="V9" s="46">
        <v>98</v>
      </c>
      <c r="W9" s="46">
        <v>98</v>
      </c>
      <c r="X9" s="46">
        <v>98</v>
      </c>
      <c r="Y9" s="46">
        <v>98</v>
      </c>
      <c r="Z9" s="46">
        <v>98</v>
      </c>
      <c r="AA9" s="46">
        <v>98</v>
      </c>
      <c r="AB9" s="46">
        <v>98</v>
      </c>
      <c r="AC9" s="46">
        <v>98</v>
      </c>
      <c r="AD9" s="46">
        <v>98</v>
      </c>
      <c r="AE9" s="46">
        <v>98</v>
      </c>
      <c r="AF9" s="46">
        <v>98</v>
      </c>
      <c r="AG9" s="46">
        <v>98</v>
      </c>
      <c r="AH9" s="46">
        <v>98</v>
      </c>
      <c r="AI9" s="46">
        <v>98</v>
      </c>
      <c r="AJ9" s="46">
        <v>98</v>
      </c>
      <c r="AK9" s="46">
        <v>98</v>
      </c>
      <c r="AL9" s="46">
        <v>98</v>
      </c>
      <c r="AM9" s="46">
        <v>98</v>
      </c>
      <c r="AN9" s="46">
        <v>98</v>
      </c>
      <c r="AO9" s="46">
        <v>98</v>
      </c>
      <c r="AP9" s="46">
        <v>98</v>
      </c>
      <c r="AQ9" s="46">
        <v>98</v>
      </c>
      <c r="AR9" s="46">
        <v>98</v>
      </c>
      <c r="AS9" s="46">
        <v>98</v>
      </c>
      <c r="AT9" s="46">
        <v>98</v>
      </c>
      <c r="AU9" s="46">
        <v>98</v>
      </c>
      <c r="AV9" s="46">
        <v>98</v>
      </c>
      <c r="AW9" s="46">
        <v>98</v>
      </c>
      <c r="AX9" s="46">
        <v>98</v>
      </c>
      <c r="AY9" s="46">
        <v>98</v>
      </c>
      <c r="AZ9" s="46">
        <v>98</v>
      </c>
      <c r="BA9" s="46">
        <v>98</v>
      </c>
      <c r="BB9" s="46">
        <v>98</v>
      </c>
      <c r="BC9" s="46">
        <v>98</v>
      </c>
      <c r="BD9" s="46">
        <v>98</v>
      </c>
      <c r="BE9" s="46">
        <v>98</v>
      </c>
      <c r="BF9" s="46">
        <v>98</v>
      </c>
      <c r="BG9" s="46">
        <v>98</v>
      </c>
      <c r="BH9" s="46">
        <v>98</v>
      </c>
      <c r="BI9" s="46">
        <v>98</v>
      </c>
      <c r="BJ9" s="46">
        <v>98</v>
      </c>
      <c r="BK9" s="46">
        <v>98</v>
      </c>
      <c r="BL9" s="46">
        <v>98</v>
      </c>
      <c r="BM9" s="46">
        <v>98</v>
      </c>
      <c r="BN9" s="46">
        <v>98</v>
      </c>
      <c r="BO9" s="46">
        <v>98</v>
      </c>
      <c r="BP9" s="46">
        <v>98</v>
      </c>
      <c r="BQ9" s="46">
        <v>98</v>
      </c>
      <c r="BR9" s="46">
        <v>98</v>
      </c>
      <c r="BS9" s="46">
        <v>98</v>
      </c>
      <c r="BT9" s="46">
        <v>98</v>
      </c>
      <c r="BU9" s="46">
        <v>98</v>
      </c>
      <c r="BV9" s="46">
        <v>98</v>
      </c>
      <c r="BW9" s="46">
        <v>98</v>
      </c>
      <c r="BX9" s="46">
        <v>98</v>
      </c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>
        <v>98</v>
      </c>
      <c r="FG9" s="46">
        <v>98</v>
      </c>
      <c r="FH9" s="46">
        <v>98</v>
      </c>
      <c r="FI9" s="46">
        <v>98</v>
      </c>
      <c r="FJ9" s="46">
        <v>98</v>
      </c>
      <c r="FK9" s="46">
        <v>98</v>
      </c>
      <c r="FL9" s="46">
        <v>98</v>
      </c>
      <c r="FM9" s="46">
        <v>98</v>
      </c>
      <c r="FN9" s="46"/>
      <c r="FO9" s="46">
        <v>98</v>
      </c>
      <c r="FP9" s="46">
        <v>98</v>
      </c>
      <c r="FQ9" s="46">
        <v>98</v>
      </c>
      <c r="FR9" s="46"/>
      <c r="FS9" s="46">
        <v>98</v>
      </c>
      <c r="FT9" s="46">
        <v>98</v>
      </c>
      <c r="FU9" s="46">
        <v>98</v>
      </c>
      <c r="FV9" s="46">
        <v>98</v>
      </c>
      <c r="FW9" s="46"/>
      <c r="FX9" s="46"/>
      <c r="FY9" s="46">
        <v>98</v>
      </c>
      <c r="FZ9" s="46">
        <v>98</v>
      </c>
      <c r="GA9" s="46">
        <v>98</v>
      </c>
      <c r="GB9" s="46">
        <v>98</v>
      </c>
      <c r="GC9" s="46">
        <v>98</v>
      </c>
      <c r="GD9" s="46">
        <v>98</v>
      </c>
      <c r="GE9" s="46">
        <v>98</v>
      </c>
      <c r="GF9" s="46">
        <v>98</v>
      </c>
      <c r="GG9" s="46">
        <v>98</v>
      </c>
      <c r="GH9" s="46">
        <v>98</v>
      </c>
      <c r="GI9" s="46">
        <v>98</v>
      </c>
      <c r="GJ9" s="46">
        <v>98</v>
      </c>
      <c r="GK9" s="46">
        <v>98</v>
      </c>
      <c r="GL9" s="46">
        <v>98</v>
      </c>
      <c r="GM9" s="46">
        <v>98</v>
      </c>
      <c r="GN9" s="46">
        <v>98</v>
      </c>
      <c r="GO9" s="46">
        <v>98</v>
      </c>
      <c r="GP9" s="46">
        <v>98</v>
      </c>
      <c r="GQ9" s="46">
        <v>98</v>
      </c>
      <c r="GR9" s="46">
        <v>98</v>
      </c>
      <c r="GS9" s="46">
        <v>98</v>
      </c>
      <c r="GT9" s="46">
        <v>98</v>
      </c>
      <c r="GU9" s="46">
        <v>98</v>
      </c>
      <c r="GV9" s="46">
        <v>98</v>
      </c>
      <c r="GW9" s="46">
        <v>98</v>
      </c>
      <c r="GX9" s="46">
        <v>98</v>
      </c>
      <c r="GY9" s="46">
        <v>98</v>
      </c>
      <c r="GZ9" s="46">
        <v>98</v>
      </c>
      <c r="HA9" s="46">
        <v>98</v>
      </c>
      <c r="HB9" s="46">
        <v>98</v>
      </c>
      <c r="HC9" s="46">
        <v>98</v>
      </c>
      <c r="HD9" s="46">
        <v>98</v>
      </c>
      <c r="HE9" s="46">
        <v>98</v>
      </c>
      <c r="HF9" s="46">
        <v>98</v>
      </c>
      <c r="HG9" s="46">
        <v>98</v>
      </c>
      <c r="HH9" s="46">
        <v>98</v>
      </c>
      <c r="HI9" s="46">
        <v>98</v>
      </c>
      <c r="HJ9" s="46">
        <v>98</v>
      </c>
      <c r="HK9" s="46">
        <v>98</v>
      </c>
      <c r="HL9" s="46"/>
      <c r="HM9" s="46">
        <v>98</v>
      </c>
      <c r="HN9" s="46">
        <v>98</v>
      </c>
      <c r="HO9" s="46">
        <v>98</v>
      </c>
      <c r="HP9" s="46">
        <v>98</v>
      </c>
      <c r="HQ9" s="46">
        <v>98</v>
      </c>
      <c r="HR9" s="46">
        <v>98</v>
      </c>
      <c r="HS9" s="46">
        <v>98</v>
      </c>
      <c r="HT9" s="46"/>
      <c r="HU9" s="46"/>
      <c r="HV9" s="46">
        <v>98</v>
      </c>
      <c r="HW9" s="46">
        <v>98</v>
      </c>
      <c r="HX9" s="46">
        <v>98</v>
      </c>
      <c r="HY9" s="46">
        <v>98</v>
      </c>
      <c r="HZ9" s="46">
        <v>98</v>
      </c>
      <c r="IA9" s="46">
        <v>98</v>
      </c>
      <c r="IB9" s="46">
        <v>98</v>
      </c>
      <c r="IC9" s="46">
        <v>98</v>
      </c>
      <c r="ID9" s="46">
        <v>98</v>
      </c>
      <c r="IE9" s="46">
        <v>98</v>
      </c>
      <c r="IF9" s="46">
        <v>98</v>
      </c>
      <c r="IG9" s="46">
        <v>98</v>
      </c>
      <c r="IH9" s="46">
        <v>98</v>
      </c>
      <c r="II9" s="46">
        <v>98</v>
      </c>
      <c r="IJ9" s="46">
        <v>98</v>
      </c>
      <c r="IK9" s="46">
        <v>98</v>
      </c>
      <c r="IL9" s="46">
        <v>98</v>
      </c>
      <c r="IM9" s="46"/>
      <c r="IN9" s="46">
        <v>98</v>
      </c>
      <c r="IO9" s="46">
        <v>98</v>
      </c>
      <c r="IP9" s="46"/>
      <c r="IQ9" s="46">
        <v>98</v>
      </c>
      <c r="IR9" s="46">
        <v>98</v>
      </c>
      <c r="IS9" s="46">
        <v>98</v>
      </c>
      <c r="IT9" s="46">
        <v>98</v>
      </c>
      <c r="IU9" s="46">
        <v>98</v>
      </c>
      <c r="IV9" s="46">
        <v>98</v>
      </c>
      <c r="IW9" s="46">
        <v>98</v>
      </c>
      <c r="IX9" s="46">
        <v>98</v>
      </c>
      <c r="IY9" s="46">
        <v>98</v>
      </c>
      <c r="IZ9" s="46">
        <v>98</v>
      </c>
      <c r="JA9" s="46">
        <v>98</v>
      </c>
      <c r="JB9" s="46">
        <v>99</v>
      </c>
      <c r="JC9" s="46"/>
      <c r="JD9" s="47"/>
    </row>
    <row r="10" spans="1:267" customHeight="1" ht="15.75" hidden="true">
      <c r="A10" s="1" t="s">
        <v>312</v>
      </c>
      <c r="F10" s="30" t="s">
        <v>313</v>
      </c>
      <c r="G10" s="48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49"/>
      <c r="CZ10" s="49"/>
      <c r="DA10" s="49"/>
      <c r="DB10" s="49"/>
      <c r="DC10" s="49"/>
      <c r="DD10" s="49"/>
      <c r="DE10" s="49"/>
      <c r="DF10" s="49"/>
      <c r="DG10" s="49"/>
      <c r="DH10" s="49"/>
      <c r="DI10" s="49"/>
      <c r="DJ10" s="49"/>
      <c r="DK10" s="49"/>
      <c r="DL10" s="49"/>
      <c r="DM10" s="49"/>
      <c r="DN10" s="49"/>
      <c r="DO10" s="49"/>
      <c r="DP10" s="49"/>
      <c r="DQ10" s="49"/>
      <c r="DR10" s="49"/>
      <c r="DS10" s="49"/>
      <c r="DT10" s="49"/>
      <c r="DU10" s="49"/>
      <c r="DV10" s="49"/>
      <c r="DW10" s="49"/>
      <c r="DX10" s="49"/>
      <c r="DY10" s="49"/>
      <c r="DZ10" s="49"/>
      <c r="EA10" s="49"/>
      <c r="EB10" s="49"/>
      <c r="EC10" s="49"/>
      <c r="ED10" s="49"/>
      <c r="EE10" s="49"/>
      <c r="EF10" s="49"/>
      <c r="EG10" s="49"/>
      <c r="EH10" s="49"/>
      <c r="EI10" s="49"/>
      <c r="EJ10" s="49"/>
      <c r="EK10" s="49"/>
      <c r="EL10" s="49"/>
      <c r="EM10" s="49"/>
      <c r="EN10" s="49"/>
      <c r="EO10" s="49"/>
      <c r="EP10" s="49"/>
      <c r="EQ10" s="49"/>
      <c r="ER10" s="49"/>
      <c r="ES10" s="49"/>
      <c r="ET10" s="49"/>
      <c r="EU10" s="49"/>
      <c r="EV10" s="49"/>
      <c r="EW10" s="49"/>
      <c r="EX10" s="49"/>
      <c r="EY10" s="49"/>
      <c r="EZ10" s="49"/>
      <c r="FA10" s="49"/>
      <c r="FB10" s="49"/>
      <c r="FC10" s="49"/>
      <c r="FD10" s="49"/>
      <c r="FE10" s="49"/>
      <c r="FF10" s="49"/>
      <c r="FG10" s="49"/>
      <c r="FH10" s="49"/>
      <c r="FI10" s="49"/>
      <c r="FJ10" s="49"/>
      <c r="FK10" s="49"/>
      <c r="FL10" s="49"/>
      <c r="FM10" s="49"/>
      <c r="FN10" s="49"/>
      <c r="FO10" s="49"/>
      <c r="FP10" s="49"/>
      <c r="FQ10" s="49"/>
      <c r="FR10" s="49"/>
      <c r="FS10" s="49"/>
      <c r="FT10" s="49"/>
      <c r="FU10" s="49"/>
      <c r="FV10" s="49"/>
      <c r="FW10" s="49"/>
      <c r="FX10" s="49"/>
      <c r="FY10" s="49"/>
      <c r="FZ10" s="49"/>
      <c r="GA10" s="49"/>
      <c r="GB10" s="49"/>
      <c r="GC10" s="49"/>
      <c r="GD10" s="49"/>
      <c r="GE10" s="49"/>
      <c r="GF10" s="49"/>
      <c r="GG10" s="49"/>
      <c r="GH10" s="49"/>
      <c r="GI10" s="49"/>
      <c r="GJ10" s="49"/>
      <c r="GK10" s="49"/>
      <c r="GL10" s="49"/>
      <c r="GM10" s="49"/>
      <c r="GN10" s="49"/>
      <c r="GO10" s="49"/>
      <c r="GP10" s="49"/>
      <c r="GQ10" s="49"/>
      <c r="GR10" s="49"/>
      <c r="GS10" s="49"/>
      <c r="GT10" s="49"/>
      <c r="GU10" s="49"/>
      <c r="GV10" s="49"/>
      <c r="GW10" s="49"/>
      <c r="GX10" s="49"/>
      <c r="GY10" s="49"/>
      <c r="GZ10" s="49"/>
      <c r="HA10" s="49"/>
      <c r="HB10" s="49"/>
      <c r="HC10" s="49"/>
      <c r="HD10" s="49"/>
      <c r="HE10" s="49"/>
      <c r="HF10" s="49"/>
      <c r="HG10" s="49"/>
      <c r="HH10" s="49"/>
      <c r="HI10" s="49"/>
      <c r="HJ10" s="49"/>
      <c r="HK10" s="49"/>
      <c r="HL10" s="49"/>
      <c r="HM10" s="49"/>
      <c r="HN10" s="49"/>
      <c r="HO10" s="49"/>
      <c r="HP10" s="49"/>
      <c r="HQ10" s="49"/>
      <c r="HR10" s="49"/>
      <c r="HS10" s="49"/>
      <c r="HT10" s="49"/>
      <c r="HU10" s="49"/>
      <c r="HV10" s="49"/>
      <c r="HW10" s="49"/>
      <c r="HX10" s="49"/>
      <c r="HY10" s="49"/>
      <c r="HZ10" s="49"/>
      <c r="IA10" s="49"/>
      <c r="IB10" s="49"/>
      <c r="IC10" s="49"/>
      <c r="ID10" s="49"/>
      <c r="IE10" s="49"/>
      <c r="IF10" s="49"/>
      <c r="IG10" s="49"/>
      <c r="IH10" s="49"/>
      <c r="II10" s="49"/>
      <c r="IJ10" s="49"/>
      <c r="IK10" s="49"/>
      <c r="IL10" s="49"/>
      <c r="IM10" s="49"/>
      <c r="IN10" s="49"/>
      <c r="IO10" s="49"/>
      <c r="IP10" s="49"/>
      <c r="IQ10" s="49"/>
      <c r="IR10" s="49"/>
      <c r="IS10" s="49"/>
      <c r="IT10" s="49"/>
      <c r="IU10" s="49"/>
      <c r="IV10" s="49"/>
      <c r="IW10" s="49"/>
      <c r="IX10" s="49"/>
      <c r="IY10" s="49"/>
      <c r="IZ10" s="49"/>
      <c r="JA10" s="49"/>
      <c r="JB10" s="49"/>
      <c r="JC10" s="49"/>
      <c r="JD10" s="50"/>
    </row>
    <row r="11" spans="1:267">
      <c r="A11" s="1" t="s">
        <v>314</v>
      </c>
      <c r="B11" s="1">
        <v>0</v>
      </c>
      <c r="C11" s="103">
        <v>44562</v>
      </c>
      <c r="D11" s="103">
        <v>44592.999988426</v>
      </c>
      <c r="F11" s="31">
        <v>1</v>
      </c>
      <c r="G11" s="32">
        <v>100</v>
      </c>
      <c r="H11" s="33">
        <v>99.9969</v>
      </c>
      <c r="I11" s="33">
        <v>100</v>
      </c>
      <c r="J11" s="33">
        <v>100</v>
      </c>
      <c r="K11" s="33">
        <v>100</v>
      </c>
      <c r="L11" s="33">
        <v>99.9968</v>
      </c>
      <c r="M11" s="33">
        <v>100</v>
      </c>
      <c r="N11" s="33">
        <v>100</v>
      </c>
      <c r="O11" s="33">
        <v>100</v>
      </c>
      <c r="P11" s="33">
        <v>99.9952</v>
      </c>
      <c r="Q11" s="33">
        <v>100</v>
      </c>
      <c r="R11" s="33">
        <v>100</v>
      </c>
      <c r="S11" s="38">
        <v>100</v>
      </c>
      <c r="T11" s="38">
        <v>100</v>
      </c>
      <c r="U11" s="33">
        <v>100</v>
      </c>
      <c r="V11" s="33">
        <v>100</v>
      </c>
      <c r="W11" s="33">
        <v>100</v>
      </c>
      <c r="X11" s="33">
        <v>100</v>
      </c>
      <c r="Y11" s="33">
        <v>100</v>
      </c>
      <c r="Z11" s="33">
        <v>100</v>
      </c>
      <c r="AA11" s="33">
        <v>100</v>
      </c>
      <c r="AB11" s="33">
        <v>100</v>
      </c>
      <c r="AC11" s="33">
        <v>100</v>
      </c>
      <c r="AD11" s="33">
        <v>100</v>
      </c>
      <c r="AE11" s="33">
        <v>100</v>
      </c>
      <c r="AF11" s="33">
        <v>100</v>
      </c>
      <c r="AG11" s="33">
        <v>100</v>
      </c>
      <c r="AH11" s="33">
        <v>100</v>
      </c>
      <c r="AI11" s="33">
        <v>100</v>
      </c>
      <c r="AJ11" s="33">
        <v>100</v>
      </c>
      <c r="AK11" s="33">
        <v>100</v>
      </c>
      <c r="AL11" s="33">
        <v>100</v>
      </c>
      <c r="AM11" s="33">
        <v>0</v>
      </c>
      <c r="AN11" s="33">
        <v>100</v>
      </c>
      <c r="AO11" s="33">
        <v>100</v>
      </c>
      <c r="AP11" s="33">
        <v>100</v>
      </c>
      <c r="AQ11" s="33">
        <v>0</v>
      </c>
      <c r="AR11" s="33">
        <v>100</v>
      </c>
      <c r="AS11" s="33">
        <v>100</v>
      </c>
      <c r="AT11" s="33">
        <v>100</v>
      </c>
      <c r="AU11" s="33">
        <v>100</v>
      </c>
      <c r="AV11" s="33">
        <v>100</v>
      </c>
      <c r="AW11" s="33">
        <v>0</v>
      </c>
      <c r="AX11" s="33">
        <v>100</v>
      </c>
      <c r="AY11" s="33">
        <v>100</v>
      </c>
      <c r="AZ11" s="33">
        <v>100</v>
      </c>
      <c r="BA11" s="33">
        <v>100</v>
      </c>
      <c r="BB11" s="33">
        <v>0</v>
      </c>
      <c r="BC11" s="33">
        <v>100</v>
      </c>
      <c r="BD11" s="33">
        <v>100</v>
      </c>
      <c r="BE11" s="33">
        <v>0</v>
      </c>
      <c r="BF11" s="33">
        <v>100</v>
      </c>
      <c r="BG11" s="33">
        <v>0</v>
      </c>
      <c r="BH11" s="33">
        <v>100</v>
      </c>
      <c r="BI11" s="33">
        <v>100</v>
      </c>
      <c r="BJ11" s="33">
        <v>100</v>
      </c>
      <c r="BK11" s="33">
        <v>0</v>
      </c>
      <c r="BL11" s="33">
        <v>100</v>
      </c>
      <c r="BM11" s="33">
        <v>100</v>
      </c>
      <c r="BN11" s="33">
        <v>100</v>
      </c>
      <c r="BO11" s="33">
        <v>0</v>
      </c>
      <c r="BP11" s="33">
        <v>100</v>
      </c>
      <c r="BQ11" s="33">
        <v>100</v>
      </c>
      <c r="BR11" s="33">
        <v>100</v>
      </c>
      <c r="BS11" s="33">
        <v>10.8715</v>
      </c>
      <c r="BT11" s="33">
        <v>100</v>
      </c>
      <c r="BU11" s="33">
        <v>100</v>
      </c>
      <c r="BV11" s="33">
        <v>100</v>
      </c>
      <c r="BW11" s="33">
        <v>100</v>
      </c>
      <c r="BX11" s="33">
        <v>100</v>
      </c>
      <c r="BY11" s="33">
        <v>100</v>
      </c>
      <c r="BZ11" s="33">
        <v>100</v>
      </c>
      <c r="CA11" s="33">
        <v>100</v>
      </c>
      <c r="CB11" s="33">
        <v>100</v>
      </c>
      <c r="CC11" s="33">
        <v>100</v>
      </c>
      <c r="CD11" s="33">
        <v>100</v>
      </c>
      <c r="CE11" s="33">
        <v>100</v>
      </c>
      <c r="CF11" s="33">
        <v>100</v>
      </c>
      <c r="CG11" s="33">
        <v>100</v>
      </c>
      <c r="CH11" s="33">
        <v>100</v>
      </c>
      <c r="CI11" s="33">
        <v>100</v>
      </c>
      <c r="CJ11" s="33">
        <v>100</v>
      </c>
      <c r="CK11" s="33">
        <v>100</v>
      </c>
      <c r="CL11" s="33">
        <v>100</v>
      </c>
      <c r="CM11" s="33">
        <v>0.0027</v>
      </c>
      <c r="CN11" s="33">
        <v>100</v>
      </c>
      <c r="CO11" s="33">
        <v>100</v>
      </c>
      <c r="CP11" s="33">
        <v>100</v>
      </c>
      <c r="CQ11" s="33">
        <v>100</v>
      </c>
      <c r="CR11" s="33">
        <v>100</v>
      </c>
      <c r="CS11" s="33">
        <v>100</v>
      </c>
      <c r="CT11" s="33">
        <v>100</v>
      </c>
      <c r="CU11" s="33">
        <v>100</v>
      </c>
      <c r="CV11" s="33">
        <v>100</v>
      </c>
      <c r="CW11" s="33">
        <v>100</v>
      </c>
      <c r="CX11" s="33">
        <v>99.1637</v>
      </c>
      <c r="CY11" s="33">
        <v>100</v>
      </c>
      <c r="CZ11" s="33">
        <v>99.7216</v>
      </c>
      <c r="DA11" s="33">
        <v>99.9754</v>
      </c>
      <c r="DB11" s="33">
        <v>98.616</v>
      </c>
      <c r="DC11" s="33">
        <v>99.9975</v>
      </c>
      <c r="DD11" s="33">
        <v>99.9937</v>
      </c>
      <c r="DE11" s="33">
        <v>99.9984</v>
      </c>
      <c r="DF11" s="33">
        <v>100</v>
      </c>
      <c r="DG11" s="33">
        <v>100</v>
      </c>
      <c r="DH11" s="33">
        <v>0.0034</v>
      </c>
      <c r="DI11" s="33">
        <v>100</v>
      </c>
      <c r="DJ11" s="33">
        <v>100</v>
      </c>
      <c r="DK11" s="33">
        <v>100</v>
      </c>
      <c r="DL11" s="33">
        <v>100</v>
      </c>
      <c r="DM11" s="33">
        <v>100</v>
      </c>
      <c r="DN11" s="33">
        <v>100</v>
      </c>
      <c r="DO11" s="33">
        <v>100</v>
      </c>
      <c r="DP11" s="33">
        <v>100</v>
      </c>
      <c r="DQ11" s="33">
        <v>99.9029</v>
      </c>
      <c r="DR11" s="33">
        <v>100</v>
      </c>
      <c r="DS11" s="33">
        <v>100</v>
      </c>
      <c r="DT11" s="33">
        <v>100</v>
      </c>
      <c r="DU11" s="33">
        <v>99.9776</v>
      </c>
      <c r="DV11" s="33">
        <v>99.9801</v>
      </c>
      <c r="DW11" s="33">
        <v>100</v>
      </c>
      <c r="DX11" s="33">
        <v>100</v>
      </c>
      <c r="DY11" s="33">
        <v>100</v>
      </c>
      <c r="DZ11" s="33">
        <v>100</v>
      </c>
      <c r="EA11" s="33">
        <v>100</v>
      </c>
      <c r="EB11" s="33">
        <v>100</v>
      </c>
      <c r="EC11" s="33">
        <v>100</v>
      </c>
      <c r="ED11" s="33">
        <v>100</v>
      </c>
      <c r="EE11" s="33">
        <v>100</v>
      </c>
      <c r="EF11" s="33">
        <v>0.0018</v>
      </c>
      <c r="EG11" s="33">
        <v>100</v>
      </c>
      <c r="EH11" s="33">
        <v>99.4438</v>
      </c>
      <c r="EI11" s="33">
        <v>100</v>
      </c>
      <c r="EJ11" s="33">
        <v>100</v>
      </c>
      <c r="EK11" s="33">
        <v>100</v>
      </c>
      <c r="EL11" s="33">
        <v>100</v>
      </c>
      <c r="EM11" s="33">
        <v>100</v>
      </c>
      <c r="EN11" s="33">
        <v>100</v>
      </c>
      <c r="EO11" s="33">
        <v>100</v>
      </c>
      <c r="EP11" s="33">
        <v>100</v>
      </c>
      <c r="EQ11" s="33">
        <v>99.5241</v>
      </c>
      <c r="ER11" s="33">
        <v>100</v>
      </c>
      <c r="ES11" s="33">
        <v>100</v>
      </c>
      <c r="ET11" s="33">
        <v>100</v>
      </c>
      <c r="EU11" s="33">
        <v>100</v>
      </c>
      <c r="EV11" s="33">
        <v>100</v>
      </c>
      <c r="EW11" s="33">
        <v>100</v>
      </c>
      <c r="EX11" s="33">
        <v>100</v>
      </c>
      <c r="EY11" s="33">
        <v>100</v>
      </c>
      <c r="EZ11" s="33">
        <v>100</v>
      </c>
      <c r="FA11" s="33">
        <v>100</v>
      </c>
      <c r="FB11" s="33">
        <v>100</v>
      </c>
      <c r="FC11" s="33">
        <v>100</v>
      </c>
      <c r="FD11" s="33">
        <v>100</v>
      </c>
      <c r="FE11" s="33">
        <v>100</v>
      </c>
      <c r="FF11" s="33">
        <v>100</v>
      </c>
      <c r="FG11" s="33">
        <v>100</v>
      </c>
      <c r="FH11" s="33">
        <v>100</v>
      </c>
      <c r="FI11" s="33">
        <v>100</v>
      </c>
      <c r="FJ11" s="33">
        <v>100</v>
      </c>
      <c r="FK11" s="33">
        <v>100</v>
      </c>
      <c r="FL11" s="33">
        <v>0</v>
      </c>
      <c r="FM11" s="33">
        <v>0</v>
      </c>
      <c r="FN11" s="33">
        <v>100</v>
      </c>
      <c r="FO11" s="33">
        <v>100</v>
      </c>
      <c r="FP11" s="33">
        <v>100</v>
      </c>
      <c r="FQ11" s="33">
        <v>100</v>
      </c>
      <c r="FR11" s="33">
        <v>100</v>
      </c>
      <c r="FS11" s="33">
        <v>100</v>
      </c>
      <c r="FT11" s="33">
        <v>100</v>
      </c>
      <c r="FU11" s="33">
        <v>100</v>
      </c>
      <c r="FV11" s="33">
        <v>100</v>
      </c>
      <c r="FW11" s="33">
        <v>100</v>
      </c>
      <c r="FX11" s="33">
        <v>100</v>
      </c>
      <c r="FY11" s="33">
        <v>100</v>
      </c>
      <c r="FZ11" s="33">
        <v>100</v>
      </c>
      <c r="GA11" s="33">
        <v>100</v>
      </c>
      <c r="GB11" s="33">
        <v>100</v>
      </c>
      <c r="GC11" s="33">
        <v>100</v>
      </c>
      <c r="GD11" s="33">
        <v>100</v>
      </c>
      <c r="GE11" s="33">
        <v>100</v>
      </c>
      <c r="GF11" s="33">
        <v>100</v>
      </c>
      <c r="GG11" s="33">
        <v>100</v>
      </c>
      <c r="GH11" s="33">
        <v>100</v>
      </c>
      <c r="GI11" s="33">
        <v>100</v>
      </c>
      <c r="GJ11" s="33">
        <v>100</v>
      </c>
      <c r="GK11" s="33">
        <v>100</v>
      </c>
      <c r="GL11" s="33">
        <v>100</v>
      </c>
      <c r="GM11" s="33">
        <v>100</v>
      </c>
      <c r="GN11" s="33">
        <v>99.9952</v>
      </c>
      <c r="GO11" s="33">
        <v>100</v>
      </c>
      <c r="GP11" s="33">
        <v>100</v>
      </c>
      <c r="GQ11" s="33">
        <v>100</v>
      </c>
      <c r="GR11" s="33">
        <v>100</v>
      </c>
      <c r="GS11" s="33">
        <v>100</v>
      </c>
      <c r="GT11" s="33">
        <v>100</v>
      </c>
      <c r="GU11" s="33">
        <v>100</v>
      </c>
      <c r="GV11" s="33">
        <v>100</v>
      </c>
      <c r="GW11" s="33">
        <v>100</v>
      </c>
      <c r="GX11" s="33">
        <v>100</v>
      </c>
      <c r="GY11" s="33">
        <v>100</v>
      </c>
      <c r="GZ11" s="33">
        <v>100</v>
      </c>
      <c r="HA11" s="33">
        <v>100</v>
      </c>
      <c r="HB11" s="33">
        <v>100</v>
      </c>
      <c r="HC11" s="33">
        <v>100</v>
      </c>
      <c r="HD11" s="33">
        <v>100</v>
      </c>
      <c r="HE11" s="33">
        <v>100</v>
      </c>
      <c r="HF11" s="33">
        <v>100</v>
      </c>
      <c r="HG11" s="33">
        <v>0</v>
      </c>
      <c r="HH11" s="33">
        <v>100</v>
      </c>
      <c r="HI11" s="33">
        <v>100</v>
      </c>
      <c r="HJ11" s="33">
        <v>0</v>
      </c>
      <c r="HK11" s="33">
        <v>100</v>
      </c>
      <c r="HL11" s="33">
        <v>100</v>
      </c>
      <c r="HM11" s="33">
        <v>100</v>
      </c>
      <c r="HN11" s="33">
        <v>100</v>
      </c>
      <c r="HO11" s="33">
        <v>100</v>
      </c>
      <c r="HP11" s="33">
        <v>100</v>
      </c>
      <c r="HQ11" s="33">
        <v>100</v>
      </c>
      <c r="HR11" s="33">
        <v>100</v>
      </c>
      <c r="HS11" s="33">
        <v>100</v>
      </c>
      <c r="HT11" s="33">
        <v>100</v>
      </c>
      <c r="HU11" s="33">
        <v>100</v>
      </c>
      <c r="HV11" s="33">
        <v>99.9966</v>
      </c>
      <c r="HW11" s="33">
        <v>100</v>
      </c>
      <c r="HX11" s="33">
        <v>100</v>
      </c>
      <c r="HY11" s="33">
        <v>100</v>
      </c>
      <c r="HZ11" s="33">
        <v>100</v>
      </c>
      <c r="IA11" s="33">
        <v>100</v>
      </c>
      <c r="IB11" s="33">
        <v>100</v>
      </c>
      <c r="IC11" s="33">
        <v>100</v>
      </c>
      <c r="ID11" s="33">
        <v>100</v>
      </c>
      <c r="IE11" s="33">
        <v>100</v>
      </c>
      <c r="IF11" s="33">
        <v>100</v>
      </c>
      <c r="IG11" s="33">
        <v>100</v>
      </c>
      <c r="IH11" s="33">
        <v>100</v>
      </c>
      <c r="II11" s="33">
        <v>100</v>
      </c>
      <c r="IJ11" s="33">
        <v>100</v>
      </c>
      <c r="IK11" s="33">
        <v>100</v>
      </c>
      <c r="IL11" s="33">
        <v>100</v>
      </c>
      <c r="IM11" s="33">
        <v>100</v>
      </c>
      <c r="IN11" s="33">
        <v>100</v>
      </c>
      <c r="IO11" s="33">
        <v>100</v>
      </c>
      <c r="IP11" s="33">
        <v>100</v>
      </c>
      <c r="IQ11" s="33">
        <v>100</v>
      </c>
      <c r="IR11" s="33">
        <v>100</v>
      </c>
      <c r="IS11" s="33">
        <v>100</v>
      </c>
      <c r="IT11" s="33">
        <v>100</v>
      </c>
      <c r="IU11" s="33">
        <v>100</v>
      </c>
      <c r="IV11" s="33">
        <v>100</v>
      </c>
      <c r="IW11" s="33">
        <v>100</v>
      </c>
      <c r="IX11" s="33">
        <v>99.3175</v>
      </c>
      <c r="IY11" s="33">
        <v>100</v>
      </c>
      <c r="IZ11" s="33">
        <v>100</v>
      </c>
      <c r="JA11" s="33">
        <v>100</v>
      </c>
      <c r="JB11" s="33">
        <v>93.750872640489</v>
      </c>
      <c r="JC11" s="33"/>
      <c r="JD11" s="41"/>
    </row>
    <row r="12" spans="1:267">
      <c r="A12" s="1"/>
      <c r="B12" s="1">
        <v>1</v>
      </c>
      <c r="C12" s="103">
        <v>44593</v>
      </c>
      <c r="D12" s="103">
        <v>44620.999988426</v>
      </c>
      <c r="F12" s="26">
        <v>2</v>
      </c>
      <c r="G12" s="34">
        <v>100</v>
      </c>
      <c r="H12" s="35">
        <v>100</v>
      </c>
      <c r="I12" s="35">
        <v>100</v>
      </c>
      <c r="J12" s="35">
        <v>100</v>
      </c>
      <c r="K12" s="35">
        <v>100</v>
      </c>
      <c r="L12" s="35">
        <v>100</v>
      </c>
      <c r="M12" s="35">
        <v>100</v>
      </c>
      <c r="N12" s="35">
        <v>100</v>
      </c>
      <c r="O12" s="35">
        <v>99.8427</v>
      </c>
      <c r="P12" s="35">
        <v>100</v>
      </c>
      <c r="Q12" s="35">
        <v>100</v>
      </c>
      <c r="R12" s="35">
        <v>100</v>
      </c>
      <c r="S12" s="39">
        <v>99.4207</v>
      </c>
      <c r="T12" s="39">
        <v>100</v>
      </c>
      <c r="U12" s="35">
        <v>100</v>
      </c>
      <c r="V12" s="35">
        <v>100</v>
      </c>
      <c r="W12" s="35">
        <v>99.4664</v>
      </c>
      <c r="X12" s="35">
        <v>100</v>
      </c>
      <c r="Y12" s="35">
        <v>100</v>
      </c>
      <c r="Z12" s="35">
        <v>100</v>
      </c>
      <c r="AA12" s="35">
        <v>100</v>
      </c>
      <c r="AB12" s="35">
        <v>100</v>
      </c>
      <c r="AC12" s="35">
        <v>100</v>
      </c>
      <c r="AD12" s="35">
        <v>100</v>
      </c>
      <c r="AE12" s="35">
        <v>100</v>
      </c>
      <c r="AF12" s="35">
        <v>100</v>
      </c>
      <c r="AG12" s="35">
        <v>100</v>
      </c>
      <c r="AH12" s="35">
        <v>100</v>
      </c>
      <c r="AI12" s="35">
        <v>100</v>
      </c>
      <c r="AJ12" s="35">
        <v>100</v>
      </c>
      <c r="AK12" s="35">
        <v>100</v>
      </c>
      <c r="AL12" s="35">
        <v>100</v>
      </c>
      <c r="AM12" s="35">
        <v>0</v>
      </c>
      <c r="AN12" s="35">
        <v>100</v>
      </c>
      <c r="AO12" s="35">
        <v>100</v>
      </c>
      <c r="AP12" s="35">
        <v>100</v>
      </c>
      <c r="AQ12" s="35">
        <v>0</v>
      </c>
      <c r="AR12" s="35">
        <v>100</v>
      </c>
      <c r="AS12" s="35">
        <v>100</v>
      </c>
      <c r="AT12" s="35">
        <v>100</v>
      </c>
      <c r="AU12" s="35">
        <v>100</v>
      </c>
      <c r="AV12" s="35">
        <v>100</v>
      </c>
      <c r="AW12" s="35">
        <v>0</v>
      </c>
      <c r="AX12" s="35">
        <v>100</v>
      </c>
      <c r="AY12" s="35">
        <v>100</v>
      </c>
      <c r="AZ12" s="35">
        <v>100</v>
      </c>
      <c r="BA12" s="35">
        <v>100</v>
      </c>
      <c r="BB12" s="35">
        <v>0</v>
      </c>
      <c r="BC12" s="35">
        <v>100</v>
      </c>
      <c r="BD12" s="35">
        <v>100</v>
      </c>
      <c r="BE12" s="35">
        <v>0</v>
      </c>
      <c r="BF12" s="35">
        <v>100</v>
      </c>
      <c r="BG12" s="35">
        <v>0</v>
      </c>
      <c r="BH12" s="35">
        <v>100</v>
      </c>
      <c r="BI12" s="35">
        <v>99.2342</v>
      </c>
      <c r="BJ12" s="35">
        <v>100</v>
      </c>
      <c r="BK12" s="35">
        <v>0</v>
      </c>
      <c r="BL12" s="35">
        <v>100</v>
      </c>
      <c r="BM12" s="35">
        <v>100</v>
      </c>
      <c r="BN12" s="35">
        <v>100</v>
      </c>
      <c r="BO12" s="35">
        <v>0</v>
      </c>
      <c r="BP12" s="35">
        <v>100</v>
      </c>
      <c r="BQ12" s="35">
        <v>100</v>
      </c>
      <c r="BR12" s="35">
        <v>100</v>
      </c>
      <c r="BS12" s="35">
        <v>58.6249</v>
      </c>
      <c r="BT12" s="35">
        <v>100</v>
      </c>
      <c r="BU12" s="35">
        <v>100</v>
      </c>
      <c r="BV12" s="35">
        <v>100</v>
      </c>
      <c r="BW12" s="35">
        <v>100</v>
      </c>
      <c r="BX12" s="35">
        <v>100</v>
      </c>
      <c r="BY12" s="35">
        <v>100</v>
      </c>
      <c r="BZ12" s="35">
        <v>100</v>
      </c>
      <c r="CA12" s="35">
        <v>100</v>
      </c>
      <c r="CB12" s="35">
        <v>100</v>
      </c>
      <c r="CC12" s="35">
        <v>100</v>
      </c>
      <c r="CD12" s="35">
        <v>100</v>
      </c>
      <c r="CE12" s="35">
        <v>100</v>
      </c>
      <c r="CF12" s="35">
        <v>100</v>
      </c>
      <c r="CG12" s="35">
        <v>100</v>
      </c>
      <c r="CH12" s="35">
        <v>100</v>
      </c>
      <c r="CI12" s="35">
        <v>100</v>
      </c>
      <c r="CJ12" s="35">
        <v>100</v>
      </c>
      <c r="CK12" s="35">
        <v>100</v>
      </c>
      <c r="CL12" s="35">
        <v>100</v>
      </c>
      <c r="CM12" s="35">
        <v>0.0132</v>
      </c>
      <c r="CN12" s="35">
        <v>100</v>
      </c>
      <c r="CO12" s="35">
        <v>100</v>
      </c>
      <c r="CP12" s="35">
        <v>100</v>
      </c>
      <c r="CQ12" s="35">
        <v>100</v>
      </c>
      <c r="CR12" s="35">
        <v>100</v>
      </c>
      <c r="CS12" s="35">
        <v>100</v>
      </c>
      <c r="CT12" s="35">
        <v>100</v>
      </c>
      <c r="CU12" s="35">
        <v>100</v>
      </c>
      <c r="CV12" s="35">
        <v>100</v>
      </c>
      <c r="CW12" s="35">
        <v>100</v>
      </c>
      <c r="CX12" s="35">
        <v>99.9392</v>
      </c>
      <c r="CY12" s="35">
        <v>99.9927</v>
      </c>
      <c r="CZ12" s="35">
        <v>99.9416</v>
      </c>
      <c r="DA12" s="35">
        <v>99.9487</v>
      </c>
      <c r="DB12" s="35">
        <v>99.9524</v>
      </c>
      <c r="DC12" s="35">
        <v>99.9657</v>
      </c>
      <c r="DD12" s="35">
        <v>99.9578</v>
      </c>
      <c r="DE12" s="35">
        <v>99.9717</v>
      </c>
      <c r="DF12" s="35">
        <v>100</v>
      </c>
      <c r="DG12" s="35">
        <v>99.9848</v>
      </c>
      <c r="DH12" s="35">
        <v>0.0159</v>
      </c>
      <c r="DI12" s="35">
        <v>100</v>
      </c>
      <c r="DJ12" s="35">
        <v>100</v>
      </c>
      <c r="DK12" s="35">
        <v>100</v>
      </c>
      <c r="DL12" s="35">
        <v>100</v>
      </c>
      <c r="DM12" s="35">
        <v>100</v>
      </c>
      <c r="DN12" s="35">
        <v>100</v>
      </c>
      <c r="DO12" s="35">
        <v>100</v>
      </c>
      <c r="DP12" s="35">
        <v>100</v>
      </c>
      <c r="DQ12" s="35">
        <v>100</v>
      </c>
      <c r="DR12" s="35">
        <v>100</v>
      </c>
      <c r="DS12" s="35">
        <v>100</v>
      </c>
      <c r="DT12" s="35">
        <v>100</v>
      </c>
      <c r="DU12" s="35">
        <v>100</v>
      </c>
      <c r="DV12" s="35">
        <v>100</v>
      </c>
      <c r="DW12" s="35">
        <v>100</v>
      </c>
      <c r="DX12" s="35">
        <v>100</v>
      </c>
      <c r="DY12" s="35">
        <v>100</v>
      </c>
      <c r="DZ12" s="35">
        <v>100</v>
      </c>
      <c r="EA12" s="35">
        <v>100</v>
      </c>
      <c r="EB12" s="35">
        <v>100</v>
      </c>
      <c r="EC12" s="35">
        <v>100</v>
      </c>
      <c r="ED12" s="35">
        <v>100</v>
      </c>
      <c r="EE12" s="35">
        <v>100</v>
      </c>
      <c r="EF12" s="35">
        <v>0.0128</v>
      </c>
      <c r="EG12" s="35">
        <v>100</v>
      </c>
      <c r="EH12" s="35">
        <v>100</v>
      </c>
      <c r="EI12" s="35">
        <v>100</v>
      </c>
      <c r="EJ12" s="35">
        <v>51.2542</v>
      </c>
      <c r="EK12" s="35">
        <v>100</v>
      </c>
      <c r="EL12" s="35">
        <v>100</v>
      </c>
      <c r="EM12" s="35">
        <v>100</v>
      </c>
      <c r="EN12" s="35">
        <v>100</v>
      </c>
      <c r="EO12" s="35">
        <v>100</v>
      </c>
      <c r="EP12" s="35">
        <v>51.2524</v>
      </c>
      <c r="EQ12" s="35">
        <v>51.2622</v>
      </c>
      <c r="ER12" s="35">
        <v>86.0172</v>
      </c>
      <c r="ES12" s="35">
        <v>86.0144</v>
      </c>
      <c r="ET12" s="35">
        <v>100</v>
      </c>
      <c r="EU12" s="35">
        <v>100</v>
      </c>
      <c r="EV12" s="35">
        <v>100</v>
      </c>
      <c r="EW12" s="35">
        <v>100</v>
      </c>
      <c r="EX12" s="35">
        <v>100</v>
      </c>
      <c r="EY12" s="35">
        <v>100</v>
      </c>
      <c r="EZ12" s="35">
        <v>100</v>
      </c>
      <c r="FA12" s="35">
        <v>100</v>
      </c>
      <c r="FB12" s="35">
        <v>100</v>
      </c>
      <c r="FC12" s="35">
        <v>100</v>
      </c>
      <c r="FD12" s="35">
        <v>100</v>
      </c>
      <c r="FE12" s="35">
        <v>100</v>
      </c>
      <c r="FF12" s="35">
        <v>100</v>
      </c>
      <c r="FG12" s="35">
        <v>100</v>
      </c>
      <c r="FH12" s="35">
        <v>100</v>
      </c>
      <c r="FI12" s="35">
        <v>100</v>
      </c>
      <c r="FJ12" s="35">
        <v>100</v>
      </c>
      <c r="FK12" s="35">
        <v>100</v>
      </c>
      <c r="FL12" s="35">
        <v>0</v>
      </c>
      <c r="FM12" s="35">
        <v>0.0017</v>
      </c>
      <c r="FN12" s="35">
        <v>100</v>
      </c>
      <c r="FO12" s="35">
        <v>100</v>
      </c>
      <c r="FP12" s="35">
        <v>100</v>
      </c>
      <c r="FQ12" s="35">
        <v>100</v>
      </c>
      <c r="FR12" s="35">
        <v>100</v>
      </c>
      <c r="FS12" s="35">
        <v>99.9955</v>
      </c>
      <c r="FT12" s="35">
        <v>99.9973</v>
      </c>
      <c r="FU12" s="35">
        <v>100</v>
      </c>
      <c r="FV12" s="35">
        <v>99.9983</v>
      </c>
      <c r="FW12" s="35">
        <v>100</v>
      </c>
      <c r="FX12" s="35">
        <v>100</v>
      </c>
      <c r="FY12" s="35">
        <v>100</v>
      </c>
      <c r="FZ12" s="35">
        <v>100</v>
      </c>
      <c r="GA12" s="35">
        <v>100</v>
      </c>
      <c r="GB12" s="35">
        <v>100</v>
      </c>
      <c r="GC12" s="35">
        <v>100</v>
      </c>
      <c r="GD12" s="35">
        <v>100</v>
      </c>
      <c r="GE12" s="35">
        <v>100</v>
      </c>
      <c r="GF12" s="35">
        <v>100</v>
      </c>
      <c r="GG12" s="35">
        <v>100</v>
      </c>
      <c r="GH12" s="35">
        <v>100</v>
      </c>
      <c r="GI12" s="35">
        <v>100</v>
      </c>
      <c r="GJ12" s="35">
        <v>100</v>
      </c>
      <c r="GK12" s="35">
        <v>100</v>
      </c>
      <c r="GL12" s="35">
        <v>100</v>
      </c>
      <c r="GM12" s="35">
        <v>100</v>
      </c>
      <c r="GN12" s="35">
        <v>98.4105</v>
      </c>
      <c r="GO12" s="35">
        <v>99.9974</v>
      </c>
      <c r="GP12" s="35">
        <v>100</v>
      </c>
      <c r="GQ12" s="35">
        <v>100</v>
      </c>
      <c r="GR12" s="35">
        <v>100</v>
      </c>
      <c r="GS12" s="35">
        <v>99.9983</v>
      </c>
      <c r="GT12" s="35">
        <v>100</v>
      </c>
      <c r="GU12" s="35">
        <v>100</v>
      </c>
      <c r="GV12" s="35">
        <v>100</v>
      </c>
      <c r="GW12" s="35">
        <v>100</v>
      </c>
      <c r="GX12" s="35">
        <v>100</v>
      </c>
      <c r="GY12" s="35">
        <v>100</v>
      </c>
      <c r="GZ12" s="35">
        <v>100</v>
      </c>
      <c r="HA12" s="35">
        <v>100</v>
      </c>
      <c r="HB12" s="35">
        <v>100</v>
      </c>
      <c r="HC12" s="35">
        <v>100</v>
      </c>
      <c r="HD12" s="35">
        <v>99.9477</v>
      </c>
      <c r="HE12" s="35">
        <v>83.2028</v>
      </c>
      <c r="HF12" s="35">
        <v>100</v>
      </c>
      <c r="HG12" s="35">
        <v>0</v>
      </c>
      <c r="HH12" s="35">
        <v>100</v>
      </c>
      <c r="HI12" s="35">
        <v>100</v>
      </c>
      <c r="HJ12" s="35">
        <v>0.0009</v>
      </c>
      <c r="HK12" s="35">
        <v>100</v>
      </c>
      <c r="HL12" s="35">
        <v>100</v>
      </c>
      <c r="HM12" s="35">
        <v>100</v>
      </c>
      <c r="HN12" s="35">
        <v>100</v>
      </c>
      <c r="HO12" s="35">
        <v>100</v>
      </c>
      <c r="HP12" s="35">
        <v>100</v>
      </c>
      <c r="HQ12" s="35">
        <v>100</v>
      </c>
      <c r="HR12" s="35">
        <v>98.4447</v>
      </c>
      <c r="HS12" s="35">
        <v>100</v>
      </c>
      <c r="HT12" s="35">
        <v>100</v>
      </c>
      <c r="HU12" s="35">
        <v>100</v>
      </c>
      <c r="HV12" s="35">
        <v>100</v>
      </c>
      <c r="HW12" s="35">
        <v>100</v>
      </c>
      <c r="HX12" s="35">
        <v>100</v>
      </c>
      <c r="HY12" s="35">
        <v>100</v>
      </c>
      <c r="HZ12" s="35">
        <v>100</v>
      </c>
      <c r="IA12" s="35">
        <v>100</v>
      </c>
      <c r="IB12" s="35">
        <v>100</v>
      </c>
      <c r="IC12" s="35">
        <v>100</v>
      </c>
      <c r="ID12" s="35">
        <v>100</v>
      </c>
      <c r="IE12" s="35">
        <v>100</v>
      </c>
      <c r="IF12" s="35">
        <v>100</v>
      </c>
      <c r="IG12" s="35">
        <v>100</v>
      </c>
      <c r="IH12" s="35">
        <v>100</v>
      </c>
      <c r="II12" s="35">
        <v>100</v>
      </c>
      <c r="IJ12" s="35">
        <v>100</v>
      </c>
      <c r="IK12" s="35">
        <v>100</v>
      </c>
      <c r="IL12" s="35">
        <v>100</v>
      </c>
      <c r="IM12" s="35">
        <v>100</v>
      </c>
      <c r="IN12" s="35">
        <v>100</v>
      </c>
      <c r="IO12" s="35">
        <v>100</v>
      </c>
      <c r="IP12" s="35">
        <v>100</v>
      </c>
      <c r="IQ12" s="35">
        <v>100</v>
      </c>
      <c r="IR12" s="35">
        <v>100</v>
      </c>
      <c r="IS12" s="35">
        <v>100</v>
      </c>
      <c r="IT12" s="35">
        <v>100</v>
      </c>
      <c r="IU12" s="35">
        <v>100</v>
      </c>
      <c r="IV12" s="35">
        <v>100</v>
      </c>
      <c r="IW12" s="35">
        <v>100</v>
      </c>
      <c r="IX12" s="35">
        <v>100</v>
      </c>
      <c r="IY12" s="35">
        <v>100</v>
      </c>
      <c r="IZ12" s="35">
        <v>100</v>
      </c>
      <c r="JA12" s="35">
        <v>100</v>
      </c>
      <c r="JB12" s="35">
        <v>93.184631059499</v>
      </c>
      <c r="JC12" s="35"/>
      <c r="JD12" s="42"/>
    </row>
    <row r="13" spans="1:267">
      <c r="A13" s="1"/>
      <c r="B13" s="1">
        <v>2</v>
      </c>
      <c r="C13" s="103">
        <v>44621</v>
      </c>
      <c r="D13" s="103">
        <v>44651.999988426</v>
      </c>
      <c r="F13" s="26">
        <v>3</v>
      </c>
      <c r="G13" s="34">
        <v>100</v>
      </c>
      <c r="H13" s="35">
        <v>100</v>
      </c>
      <c r="I13" s="35">
        <v>100</v>
      </c>
      <c r="J13" s="35">
        <v>100</v>
      </c>
      <c r="K13" s="35">
        <v>100</v>
      </c>
      <c r="L13" s="35">
        <v>100</v>
      </c>
      <c r="M13" s="35">
        <v>100</v>
      </c>
      <c r="N13" s="35">
        <v>100</v>
      </c>
      <c r="O13" s="35">
        <v>100</v>
      </c>
      <c r="P13" s="35">
        <v>100</v>
      </c>
      <c r="Q13" s="35">
        <v>100</v>
      </c>
      <c r="R13" s="35">
        <v>100</v>
      </c>
      <c r="S13" s="39">
        <v>100</v>
      </c>
      <c r="T13" s="39">
        <v>100</v>
      </c>
      <c r="U13" s="35">
        <v>100</v>
      </c>
      <c r="V13" s="35">
        <v>100</v>
      </c>
      <c r="W13" s="35">
        <v>100</v>
      </c>
      <c r="X13" s="35">
        <v>100</v>
      </c>
      <c r="Y13" s="35">
        <v>100</v>
      </c>
      <c r="Z13" s="35">
        <v>100</v>
      </c>
      <c r="AA13" s="35">
        <v>100</v>
      </c>
      <c r="AB13" s="35">
        <v>100</v>
      </c>
      <c r="AC13" s="35">
        <v>100</v>
      </c>
      <c r="AD13" s="35">
        <v>100</v>
      </c>
      <c r="AE13" s="35">
        <v>100</v>
      </c>
      <c r="AF13" s="35">
        <v>100</v>
      </c>
      <c r="AG13" s="35">
        <v>100</v>
      </c>
      <c r="AH13" s="35">
        <v>100</v>
      </c>
      <c r="AI13" s="35">
        <v>100</v>
      </c>
      <c r="AJ13" s="35">
        <v>100</v>
      </c>
      <c r="AK13" s="35">
        <v>100</v>
      </c>
      <c r="AL13" s="35">
        <v>100</v>
      </c>
      <c r="AM13" s="35"/>
      <c r="AN13" s="35">
        <v>100</v>
      </c>
      <c r="AO13" s="35">
        <v>100</v>
      </c>
      <c r="AP13" s="35">
        <v>100</v>
      </c>
      <c r="AQ13" s="35"/>
      <c r="AR13" s="35">
        <v>100</v>
      </c>
      <c r="AS13" s="35">
        <v>100</v>
      </c>
      <c r="AT13" s="35">
        <v>100</v>
      </c>
      <c r="AU13" s="35">
        <v>100</v>
      </c>
      <c r="AV13" s="35">
        <v>100</v>
      </c>
      <c r="AW13" s="35"/>
      <c r="AX13" s="35">
        <v>100</v>
      </c>
      <c r="AY13" s="35">
        <v>100</v>
      </c>
      <c r="AZ13" s="35">
        <v>100</v>
      </c>
      <c r="BA13" s="35">
        <v>100</v>
      </c>
      <c r="BB13" s="35"/>
      <c r="BC13" s="35">
        <v>100</v>
      </c>
      <c r="BD13" s="35">
        <v>99.9881</v>
      </c>
      <c r="BE13" s="35">
        <v>0</v>
      </c>
      <c r="BF13" s="35">
        <v>100</v>
      </c>
      <c r="BG13" s="35"/>
      <c r="BH13" s="35">
        <v>100</v>
      </c>
      <c r="BI13" s="35">
        <v>100</v>
      </c>
      <c r="BJ13" s="35">
        <v>100</v>
      </c>
      <c r="BK13" s="35"/>
      <c r="BL13" s="35">
        <v>100</v>
      </c>
      <c r="BM13" s="35">
        <v>100</v>
      </c>
      <c r="BN13" s="35">
        <v>100</v>
      </c>
      <c r="BO13" s="35"/>
      <c r="BP13" s="35">
        <v>100</v>
      </c>
      <c r="BQ13" s="35">
        <v>100</v>
      </c>
      <c r="BR13" s="35">
        <v>100</v>
      </c>
      <c r="BS13" s="35"/>
      <c r="BT13" s="35">
        <v>100</v>
      </c>
      <c r="BU13" s="35">
        <v>100</v>
      </c>
      <c r="BV13" s="35">
        <v>100</v>
      </c>
      <c r="BW13" s="35">
        <v>100</v>
      </c>
      <c r="BX13" s="35">
        <v>100</v>
      </c>
      <c r="BY13" s="35">
        <v>100</v>
      </c>
      <c r="BZ13" s="35">
        <v>100</v>
      </c>
      <c r="CA13" s="35">
        <v>100</v>
      </c>
      <c r="CB13" s="35">
        <v>100</v>
      </c>
      <c r="CC13" s="35">
        <v>100</v>
      </c>
      <c r="CD13" s="35">
        <v>100</v>
      </c>
      <c r="CE13" s="35">
        <v>100</v>
      </c>
      <c r="CF13" s="35">
        <v>100</v>
      </c>
      <c r="CG13" s="35">
        <v>100</v>
      </c>
      <c r="CH13" s="35">
        <v>100</v>
      </c>
      <c r="CI13" s="35">
        <v>100</v>
      </c>
      <c r="CJ13" s="35">
        <v>100</v>
      </c>
      <c r="CK13" s="35">
        <v>100</v>
      </c>
      <c r="CL13" s="35">
        <v>100</v>
      </c>
      <c r="CM13" s="35">
        <v>0.0029</v>
      </c>
      <c r="CN13" s="35">
        <v>100</v>
      </c>
      <c r="CO13" s="35">
        <v>100</v>
      </c>
      <c r="CP13" s="35">
        <v>100</v>
      </c>
      <c r="CQ13" s="35">
        <v>100</v>
      </c>
      <c r="CR13" s="35">
        <v>100</v>
      </c>
      <c r="CS13" s="35">
        <v>100</v>
      </c>
      <c r="CT13" s="35">
        <v>100</v>
      </c>
      <c r="CU13" s="35">
        <v>100</v>
      </c>
      <c r="CV13" s="35">
        <v>100</v>
      </c>
      <c r="CW13" s="35">
        <v>100</v>
      </c>
      <c r="CX13" s="35">
        <v>99.2525</v>
      </c>
      <c r="CY13" s="35">
        <v>99.9951</v>
      </c>
      <c r="CZ13" s="35">
        <v>99.9697</v>
      </c>
      <c r="DA13" s="35">
        <v>99.9713</v>
      </c>
      <c r="DB13" s="35">
        <v>99.489</v>
      </c>
      <c r="DC13" s="35">
        <v>100</v>
      </c>
      <c r="DD13" s="35">
        <v>99.9784</v>
      </c>
      <c r="DE13" s="35">
        <v>99.9824</v>
      </c>
      <c r="DF13" s="35">
        <v>100</v>
      </c>
      <c r="DG13" s="35">
        <v>99.9903</v>
      </c>
      <c r="DH13" s="35">
        <v>0.0057</v>
      </c>
      <c r="DI13" s="35">
        <v>100</v>
      </c>
      <c r="DJ13" s="35">
        <v>100</v>
      </c>
      <c r="DK13" s="35">
        <v>100</v>
      </c>
      <c r="DL13" s="35">
        <v>100</v>
      </c>
      <c r="DM13" s="35">
        <v>100</v>
      </c>
      <c r="DN13" s="35">
        <v>100</v>
      </c>
      <c r="DO13" s="35">
        <v>100</v>
      </c>
      <c r="DP13" s="35">
        <v>99.8395</v>
      </c>
      <c r="DQ13" s="35">
        <v>100</v>
      </c>
      <c r="DR13" s="35">
        <v>100</v>
      </c>
      <c r="DS13" s="35">
        <v>100</v>
      </c>
      <c r="DT13" s="35">
        <v>100</v>
      </c>
      <c r="DU13" s="35">
        <v>100</v>
      </c>
      <c r="DV13" s="35">
        <v>100</v>
      </c>
      <c r="DW13" s="35">
        <v>100</v>
      </c>
      <c r="DX13" s="35">
        <v>100</v>
      </c>
      <c r="DY13" s="35">
        <v>100</v>
      </c>
      <c r="DZ13" s="35">
        <v>100</v>
      </c>
      <c r="EA13" s="35">
        <v>100</v>
      </c>
      <c r="EB13" s="35">
        <v>100</v>
      </c>
      <c r="EC13" s="35">
        <v>100</v>
      </c>
      <c r="ED13" s="35">
        <v>100</v>
      </c>
      <c r="EE13" s="35">
        <v>100</v>
      </c>
      <c r="EF13" s="35">
        <v>0.0012</v>
      </c>
      <c r="EG13" s="35">
        <v>100</v>
      </c>
      <c r="EH13" s="35">
        <v>99.3195</v>
      </c>
      <c r="EI13" s="35">
        <v>100</v>
      </c>
      <c r="EJ13" s="35">
        <v>46.9572</v>
      </c>
      <c r="EK13" s="35">
        <v>100</v>
      </c>
      <c r="EL13" s="35">
        <v>100</v>
      </c>
      <c r="EM13" s="35">
        <v>100</v>
      </c>
      <c r="EN13" s="35">
        <v>100</v>
      </c>
      <c r="EO13" s="35">
        <v>100</v>
      </c>
      <c r="EP13" s="35">
        <v>46.9542</v>
      </c>
      <c r="EQ13" s="35">
        <v>46.9581</v>
      </c>
      <c r="ER13" s="35">
        <v>99.58</v>
      </c>
      <c r="ES13" s="35">
        <v>99.5784</v>
      </c>
      <c r="ET13" s="35">
        <v>100</v>
      </c>
      <c r="EU13" s="35">
        <v>100</v>
      </c>
      <c r="EV13" s="35">
        <v>100</v>
      </c>
      <c r="EW13" s="35">
        <v>100</v>
      </c>
      <c r="EX13" s="35">
        <v>100</v>
      </c>
      <c r="EY13" s="35">
        <v>100</v>
      </c>
      <c r="EZ13" s="35">
        <v>100</v>
      </c>
      <c r="FA13" s="35">
        <v>100</v>
      </c>
      <c r="FB13" s="35">
        <v>100</v>
      </c>
      <c r="FC13" s="35">
        <v>100</v>
      </c>
      <c r="FD13" s="35">
        <v>100</v>
      </c>
      <c r="FE13" s="35">
        <v>100</v>
      </c>
      <c r="FF13" s="35">
        <v>100</v>
      </c>
      <c r="FG13" s="35">
        <v>100</v>
      </c>
      <c r="FH13" s="35">
        <v>100</v>
      </c>
      <c r="FI13" s="35">
        <v>100</v>
      </c>
      <c r="FJ13" s="35">
        <v>100</v>
      </c>
      <c r="FK13" s="35">
        <v>100</v>
      </c>
      <c r="FL13" s="35">
        <v>0</v>
      </c>
      <c r="FM13" s="35">
        <v>0</v>
      </c>
      <c r="FN13" s="35">
        <v>100</v>
      </c>
      <c r="FO13" s="35">
        <v>100</v>
      </c>
      <c r="FP13" s="35">
        <v>100</v>
      </c>
      <c r="FQ13" s="35">
        <v>100</v>
      </c>
      <c r="FR13" s="35">
        <v>100</v>
      </c>
      <c r="FS13" s="35">
        <v>100</v>
      </c>
      <c r="FT13" s="35">
        <v>100</v>
      </c>
      <c r="FU13" s="35">
        <v>100</v>
      </c>
      <c r="FV13" s="35">
        <v>100</v>
      </c>
      <c r="FW13" s="35">
        <v>100</v>
      </c>
      <c r="FX13" s="35">
        <v>100</v>
      </c>
      <c r="FY13" s="35">
        <v>100</v>
      </c>
      <c r="FZ13" s="35">
        <v>100</v>
      </c>
      <c r="GA13" s="35">
        <v>100</v>
      </c>
      <c r="GB13" s="35">
        <v>100</v>
      </c>
      <c r="GC13" s="35">
        <v>100</v>
      </c>
      <c r="GD13" s="35">
        <v>100</v>
      </c>
      <c r="GE13" s="35">
        <v>100</v>
      </c>
      <c r="GF13" s="35">
        <v>100</v>
      </c>
      <c r="GG13" s="35">
        <v>100</v>
      </c>
      <c r="GH13" s="35">
        <v>100</v>
      </c>
      <c r="GI13" s="35">
        <v>100</v>
      </c>
      <c r="GJ13" s="35">
        <v>100</v>
      </c>
      <c r="GK13" s="35">
        <v>100</v>
      </c>
      <c r="GL13" s="35">
        <v>100</v>
      </c>
      <c r="GM13" s="35">
        <v>100</v>
      </c>
      <c r="GN13" s="35">
        <v>100</v>
      </c>
      <c r="GO13" s="35">
        <v>100</v>
      </c>
      <c r="GP13" s="35">
        <v>100</v>
      </c>
      <c r="GQ13" s="35">
        <v>100</v>
      </c>
      <c r="GR13" s="35">
        <v>100</v>
      </c>
      <c r="GS13" s="35">
        <v>100</v>
      </c>
      <c r="GT13" s="35">
        <v>100</v>
      </c>
      <c r="GU13" s="35">
        <v>100</v>
      </c>
      <c r="GV13" s="35">
        <v>100</v>
      </c>
      <c r="GW13" s="35">
        <v>100</v>
      </c>
      <c r="GX13" s="35">
        <v>100</v>
      </c>
      <c r="GY13" s="35">
        <v>100</v>
      </c>
      <c r="GZ13" s="35">
        <v>100</v>
      </c>
      <c r="HA13" s="35">
        <v>100</v>
      </c>
      <c r="HB13" s="35">
        <v>100</v>
      </c>
      <c r="HC13" s="35">
        <v>100</v>
      </c>
      <c r="HD13" s="35">
        <v>100</v>
      </c>
      <c r="HE13" s="35">
        <v>82.8434</v>
      </c>
      <c r="HF13" s="35">
        <v>100</v>
      </c>
      <c r="HG13" s="35">
        <v>0</v>
      </c>
      <c r="HH13" s="35">
        <v>100</v>
      </c>
      <c r="HI13" s="35">
        <v>100</v>
      </c>
      <c r="HJ13" s="35">
        <v>0</v>
      </c>
      <c r="HK13" s="35">
        <v>100</v>
      </c>
      <c r="HL13" s="35">
        <v>100</v>
      </c>
      <c r="HM13" s="35">
        <v>100</v>
      </c>
      <c r="HN13" s="35">
        <v>100</v>
      </c>
      <c r="HO13" s="35">
        <v>100</v>
      </c>
      <c r="HP13" s="35">
        <v>100</v>
      </c>
      <c r="HQ13" s="35">
        <v>100</v>
      </c>
      <c r="HR13" s="35">
        <v>100</v>
      </c>
      <c r="HS13" s="35">
        <v>100</v>
      </c>
      <c r="HT13" s="35">
        <v>99.2518</v>
      </c>
      <c r="HU13" s="35">
        <v>100</v>
      </c>
      <c r="HV13" s="35">
        <v>100</v>
      </c>
      <c r="HW13" s="35">
        <v>100</v>
      </c>
      <c r="HX13" s="35">
        <v>100</v>
      </c>
      <c r="HY13" s="35">
        <v>100</v>
      </c>
      <c r="HZ13" s="35">
        <v>100</v>
      </c>
      <c r="IA13" s="35">
        <v>100</v>
      </c>
      <c r="IB13" s="35">
        <v>100</v>
      </c>
      <c r="IC13" s="35">
        <v>100</v>
      </c>
      <c r="ID13" s="35">
        <v>100</v>
      </c>
      <c r="IE13" s="35">
        <v>100</v>
      </c>
      <c r="IF13" s="35">
        <v>100</v>
      </c>
      <c r="IG13" s="35">
        <v>100</v>
      </c>
      <c r="IH13" s="35">
        <v>100</v>
      </c>
      <c r="II13" s="35">
        <v>100</v>
      </c>
      <c r="IJ13" s="35">
        <v>100</v>
      </c>
      <c r="IK13" s="35">
        <v>100</v>
      </c>
      <c r="IL13" s="35">
        <v>100</v>
      </c>
      <c r="IM13" s="35">
        <v>100</v>
      </c>
      <c r="IN13" s="35">
        <v>100</v>
      </c>
      <c r="IO13" s="35">
        <v>100</v>
      </c>
      <c r="IP13" s="35">
        <v>100</v>
      </c>
      <c r="IQ13" s="35">
        <v>100</v>
      </c>
      <c r="IR13" s="35">
        <v>100</v>
      </c>
      <c r="IS13" s="35">
        <v>100</v>
      </c>
      <c r="IT13" s="35">
        <v>100</v>
      </c>
      <c r="IU13" s="35">
        <v>100</v>
      </c>
      <c r="IV13" s="35">
        <v>100</v>
      </c>
      <c r="IW13" s="35">
        <v>100</v>
      </c>
      <c r="IX13" s="35">
        <v>100</v>
      </c>
      <c r="IY13" s="35">
        <v>100</v>
      </c>
      <c r="IZ13" s="35">
        <v>100</v>
      </c>
      <c r="JA13" s="35">
        <v>100</v>
      </c>
      <c r="JB13" s="35">
        <v>96.032019418066</v>
      </c>
      <c r="JC13" s="35"/>
      <c r="JD13" s="42"/>
    </row>
    <row r="14" spans="1:267">
      <c r="A14" s="1"/>
      <c r="B14" s="1">
        <v>3</v>
      </c>
      <c r="C14" s="103">
        <v>44652</v>
      </c>
      <c r="D14" s="103">
        <v>44681.999988426</v>
      </c>
      <c r="F14" s="26">
        <v>4</v>
      </c>
      <c r="G14" s="34">
        <v>100</v>
      </c>
      <c r="H14" s="35">
        <v>100</v>
      </c>
      <c r="I14" s="35">
        <v>100</v>
      </c>
      <c r="J14" s="35">
        <v>100</v>
      </c>
      <c r="K14" s="35">
        <v>99.8737</v>
      </c>
      <c r="L14" s="35">
        <v>100</v>
      </c>
      <c r="M14" s="35">
        <v>100</v>
      </c>
      <c r="N14" s="35">
        <v>100</v>
      </c>
      <c r="O14" s="35">
        <v>99.6171</v>
      </c>
      <c r="P14" s="35">
        <v>100</v>
      </c>
      <c r="Q14" s="35">
        <v>100</v>
      </c>
      <c r="R14" s="35">
        <v>100</v>
      </c>
      <c r="S14" s="39">
        <v>99.872</v>
      </c>
      <c r="T14" s="39">
        <v>100</v>
      </c>
      <c r="U14" s="35">
        <v>99.9975</v>
      </c>
      <c r="V14" s="35">
        <v>100</v>
      </c>
      <c r="W14" s="35">
        <v>100</v>
      </c>
      <c r="X14" s="35">
        <v>100</v>
      </c>
      <c r="Y14" s="35">
        <v>100</v>
      </c>
      <c r="Z14" s="35">
        <v>100</v>
      </c>
      <c r="AA14" s="35">
        <v>100</v>
      </c>
      <c r="AB14" s="35">
        <v>100</v>
      </c>
      <c r="AC14" s="35">
        <v>100</v>
      </c>
      <c r="AD14" s="35">
        <v>100</v>
      </c>
      <c r="AE14" s="35">
        <v>100</v>
      </c>
      <c r="AF14" s="35">
        <v>100</v>
      </c>
      <c r="AG14" s="35">
        <v>100</v>
      </c>
      <c r="AH14" s="35">
        <v>100</v>
      </c>
      <c r="AI14" s="35">
        <v>99.5043</v>
      </c>
      <c r="AJ14" s="35">
        <v>100</v>
      </c>
      <c r="AK14" s="35">
        <v>100</v>
      </c>
      <c r="AL14" s="35">
        <v>100</v>
      </c>
      <c r="AM14" s="35"/>
      <c r="AN14" s="35">
        <v>100</v>
      </c>
      <c r="AO14" s="35">
        <v>100</v>
      </c>
      <c r="AP14" s="35">
        <v>100</v>
      </c>
      <c r="AQ14" s="35"/>
      <c r="AR14" s="35">
        <v>100</v>
      </c>
      <c r="AS14" s="35">
        <v>100</v>
      </c>
      <c r="AT14" s="35">
        <v>100</v>
      </c>
      <c r="AU14" s="35">
        <v>100</v>
      </c>
      <c r="AV14" s="35">
        <v>100</v>
      </c>
      <c r="AW14" s="35"/>
      <c r="AX14" s="35">
        <v>100</v>
      </c>
      <c r="AY14" s="35">
        <v>100</v>
      </c>
      <c r="AZ14" s="35">
        <v>100</v>
      </c>
      <c r="BA14" s="35">
        <v>100</v>
      </c>
      <c r="BB14" s="35"/>
      <c r="BC14" s="35">
        <v>100</v>
      </c>
      <c r="BD14" s="35">
        <v>99.9998</v>
      </c>
      <c r="BE14" s="35">
        <v>0</v>
      </c>
      <c r="BF14" s="35">
        <v>100</v>
      </c>
      <c r="BG14" s="35"/>
      <c r="BH14" s="35">
        <v>100</v>
      </c>
      <c r="BI14" s="35">
        <v>100</v>
      </c>
      <c r="BJ14" s="35">
        <v>100</v>
      </c>
      <c r="BK14" s="35"/>
      <c r="BL14" s="35">
        <v>100</v>
      </c>
      <c r="BM14" s="35">
        <v>100</v>
      </c>
      <c r="BN14" s="35">
        <v>100</v>
      </c>
      <c r="BO14" s="35"/>
      <c r="BP14" s="35">
        <v>100</v>
      </c>
      <c r="BQ14" s="35">
        <v>100</v>
      </c>
      <c r="BR14" s="35">
        <v>100</v>
      </c>
      <c r="BS14" s="35"/>
      <c r="BT14" s="35">
        <v>100</v>
      </c>
      <c r="BU14" s="35">
        <v>100</v>
      </c>
      <c r="BV14" s="35">
        <v>100</v>
      </c>
      <c r="BW14" s="35">
        <v>100</v>
      </c>
      <c r="BX14" s="35">
        <v>100</v>
      </c>
      <c r="BY14" s="35">
        <v>100</v>
      </c>
      <c r="BZ14" s="35">
        <v>100</v>
      </c>
      <c r="CA14" s="35">
        <v>100</v>
      </c>
      <c r="CB14" s="35">
        <v>100</v>
      </c>
      <c r="CC14" s="35">
        <v>100</v>
      </c>
      <c r="CD14" s="35">
        <v>100</v>
      </c>
      <c r="CE14" s="35">
        <v>100</v>
      </c>
      <c r="CF14" s="35">
        <v>100</v>
      </c>
      <c r="CG14" s="35">
        <v>100</v>
      </c>
      <c r="CH14" s="35">
        <v>100</v>
      </c>
      <c r="CI14" s="35">
        <v>100</v>
      </c>
      <c r="CJ14" s="35">
        <v>100</v>
      </c>
      <c r="CK14" s="35">
        <v>100</v>
      </c>
      <c r="CL14" s="35">
        <v>100</v>
      </c>
      <c r="CM14" s="35">
        <v>0.0075</v>
      </c>
      <c r="CN14" s="35">
        <v>100</v>
      </c>
      <c r="CO14" s="35">
        <v>100</v>
      </c>
      <c r="CP14" s="35">
        <v>100</v>
      </c>
      <c r="CQ14" s="35">
        <v>100</v>
      </c>
      <c r="CR14" s="35">
        <v>100</v>
      </c>
      <c r="CS14" s="35">
        <v>100</v>
      </c>
      <c r="CT14" s="35">
        <v>100</v>
      </c>
      <c r="CU14" s="35">
        <v>100</v>
      </c>
      <c r="CV14" s="35">
        <v>100</v>
      </c>
      <c r="CW14" s="35">
        <v>100</v>
      </c>
      <c r="CX14" s="35">
        <v>99.5745</v>
      </c>
      <c r="CY14" s="35">
        <v>100</v>
      </c>
      <c r="CZ14" s="35">
        <v>99.748</v>
      </c>
      <c r="DA14" s="35">
        <v>99.9671</v>
      </c>
      <c r="DB14" s="35">
        <v>99.0516</v>
      </c>
      <c r="DC14" s="35">
        <v>99.9802</v>
      </c>
      <c r="DD14" s="35">
        <v>99.9728</v>
      </c>
      <c r="DE14" s="35">
        <v>99.981</v>
      </c>
      <c r="DF14" s="35">
        <v>100</v>
      </c>
      <c r="DG14" s="35">
        <v>99.9884</v>
      </c>
      <c r="DH14" s="35">
        <v>0.0125</v>
      </c>
      <c r="DI14" s="35">
        <v>100</v>
      </c>
      <c r="DJ14" s="35">
        <v>100</v>
      </c>
      <c r="DK14" s="35">
        <v>100</v>
      </c>
      <c r="DL14" s="35">
        <v>100</v>
      </c>
      <c r="DM14" s="35">
        <v>100</v>
      </c>
      <c r="DN14" s="35">
        <v>100</v>
      </c>
      <c r="DO14" s="35">
        <v>100</v>
      </c>
      <c r="DP14" s="35">
        <v>100</v>
      </c>
      <c r="DQ14" s="35">
        <v>100</v>
      </c>
      <c r="DR14" s="35">
        <v>100</v>
      </c>
      <c r="DS14" s="35">
        <v>100</v>
      </c>
      <c r="DT14" s="35">
        <v>100</v>
      </c>
      <c r="DU14" s="35">
        <v>99.9819</v>
      </c>
      <c r="DV14" s="35">
        <v>99.991</v>
      </c>
      <c r="DW14" s="35">
        <v>100</v>
      </c>
      <c r="DX14" s="35">
        <v>100</v>
      </c>
      <c r="DY14" s="35">
        <v>100</v>
      </c>
      <c r="DZ14" s="35">
        <v>100</v>
      </c>
      <c r="EA14" s="35">
        <v>100</v>
      </c>
      <c r="EB14" s="35">
        <v>100</v>
      </c>
      <c r="EC14" s="35">
        <v>100</v>
      </c>
      <c r="ED14" s="35">
        <v>100</v>
      </c>
      <c r="EE14" s="35">
        <v>100</v>
      </c>
      <c r="EF14" s="35">
        <v>0.0044</v>
      </c>
      <c r="EG14" s="35">
        <v>100</v>
      </c>
      <c r="EH14" s="35">
        <v>88.5195</v>
      </c>
      <c r="EI14" s="35">
        <v>100</v>
      </c>
      <c r="EJ14" s="35">
        <v>99.4942</v>
      </c>
      <c r="EK14" s="35">
        <v>100</v>
      </c>
      <c r="EL14" s="35">
        <v>100</v>
      </c>
      <c r="EM14" s="35">
        <v>100</v>
      </c>
      <c r="EN14" s="35">
        <v>100</v>
      </c>
      <c r="EO14" s="35">
        <v>100</v>
      </c>
      <c r="EP14" s="35">
        <v>100</v>
      </c>
      <c r="EQ14" s="35">
        <v>100</v>
      </c>
      <c r="ER14" s="35">
        <v>100</v>
      </c>
      <c r="ES14" s="35">
        <v>100</v>
      </c>
      <c r="ET14" s="35">
        <v>100</v>
      </c>
      <c r="EU14" s="35">
        <v>100</v>
      </c>
      <c r="EV14" s="35">
        <v>100</v>
      </c>
      <c r="EW14" s="35">
        <v>100</v>
      </c>
      <c r="EX14" s="35">
        <v>100</v>
      </c>
      <c r="EY14" s="35">
        <v>100</v>
      </c>
      <c r="EZ14" s="35">
        <v>100</v>
      </c>
      <c r="FA14" s="35">
        <v>100</v>
      </c>
      <c r="FB14" s="35">
        <v>100</v>
      </c>
      <c r="FC14" s="35">
        <v>100</v>
      </c>
      <c r="FD14" s="35">
        <v>100</v>
      </c>
      <c r="FE14" s="35">
        <v>100</v>
      </c>
      <c r="FF14" s="35">
        <v>100</v>
      </c>
      <c r="FG14" s="35">
        <v>100</v>
      </c>
      <c r="FH14" s="35">
        <v>100</v>
      </c>
      <c r="FI14" s="35">
        <v>100</v>
      </c>
      <c r="FJ14" s="35">
        <v>100</v>
      </c>
      <c r="FK14" s="35">
        <v>100</v>
      </c>
      <c r="FL14" s="35">
        <v>0</v>
      </c>
      <c r="FM14" s="35">
        <v>0</v>
      </c>
      <c r="FN14" s="35">
        <v>100</v>
      </c>
      <c r="FO14" s="35">
        <v>100</v>
      </c>
      <c r="FP14" s="35">
        <v>100</v>
      </c>
      <c r="FQ14" s="35">
        <v>100</v>
      </c>
      <c r="FR14" s="35">
        <v>100</v>
      </c>
      <c r="FS14" s="35">
        <v>100</v>
      </c>
      <c r="FT14" s="35">
        <v>100</v>
      </c>
      <c r="FU14" s="35">
        <v>100</v>
      </c>
      <c r="FV14" s="35">
        <v>100</v>
      </c>
      <c r="FW14" s="35">
        <v>100</v>
      </c>
      <c r="FX14" s="35">
        <v>100</v>
      </c>
      <c r="FY14" s="35">
        <v>100</v>
      </c>
      <c r="FZ14" s="35">
        <v>100</v>
      </c>
      <c r="GA14" s="35">
        <v>100</v>
      </c>
      <c r="GB14" s="35">
        <v>100</v>
      </c>
      <c r="GC14" s="35">
        <v>100</v>
      </c>
      <c r="GD14" s="35">
        <v>100</v>
      </c>
      <c r="GE14" s="35">
        <v>100</v>
      </c>
      <c r="GF14" s="35">
        <v>100</v>
      </c>
      <c r="GG14" s="35">
        <v>100</v>
      </c>
      <c r="GH14" s="35">
        <v>100</v>
      </c>
      <c r="GI14" s="35">
        <v>100</v>
      </c>
      <c r="GJ14" s="35">
        <v>100</v>
      </c>
      <c r="GK14" s="35">
        <v>100</v>
      </c>
      <c r="GL14" s="35">
        <v>100</v>
      </c>
      <c r="GM14" s="35">
        <v>100</v>
      </c>
      <c r="GN14" s="35">
        <v>88.9322</v>
      </c>
      <c r="GO14" s="35">
        <v>99.9992</v>
      </c>
      <c r="GP14" s="35">
        <v>100</v>
      </c>
      <c r="GQ14" s="35">
        <v>100</v>
      </c>
      <c r="GR14" s="35">
        <v>100</v>
      </c>
      <c r="GS14" s="35">
        <v>100</v>
      </c>
      <c r="GT14" s="35">
        <v>100</v>
      </c>
      <c r="GU14" s="35">
        <v>100</v>
      </c>
      <c r="GV14" s="35">
        <v>100</v>
      </c>
      <c r="GW14" s="35">
        <v>100</v>
      </c>
      <c r="GX14" s="35">
        <v>100</v>
      </c>
      <c r="GY14" s="35">
        <v>100</v>
      </c>
      <c r="GZ14" s="35">
        <v>100</v>
      </c>
      <c r="HA14" s="35">
        <v>100</v>
      </c>
      <c r="HB14" s="35">
        <v>100</v>
      </c>
      <c r="HC14" s="35">
        <v>100</v>
      </c>
      <c r="HD14" s="35">
        <v>100</v>
      </c>
      <c r="HE14" s="35">
        <v>100</v>
      </c>
      <c r="HF14" s="35">
        <v>100</v>
      </c>
      <c r="HG14" s="35">
        <v>0</v>
      </c>
      <c r="HH14" s="35">
        <v>100</v>
      </c>
      <c r="HI14" s="35">
        <v>100</v>
      </c>
      <c r="HJ14" s="35">
        <v>0</v>
      </c>
      <c r="HK14" s="35">
        <v>100</v>
      </c>
      <c r="HL14" s="35">
        <v>87.8657</v>
      </c>
      <c r="HM14" s="35">
        <v>87.8722</v>
      </c>
      <c r="HN14" s="35">
        <v>87.8723</v>
      </c>
      <c r="HO14" s="35">
        <v>100</v>
      </c>
      <c r="HP14" s="35">
        <v>100</v>
      </c>
      <c r="HQ14" s="35">
        <v>100</v>
      </c>
      <c r="HR14" s="35">
        <v>100</v>
      </c>
      <c r="HS14" s="35">
        <v>100</v>
      </c>
      <c r="HT14" s="35">
        <v>100</v>
      </c>
      <c r="HU14" s="35">
        <v>68.0839</v>
      </c>
      <c r="HV14" s="35">
        <v>100</v>
      </c>
      <c r="HW14" s="35">
        <v>100</v>
      </c>
      <c r="HX14" s="35">
        <v>100</v>
      </c>
      <c r="HY14" s="35">
        <v>100</v>
      </c>
      <c r="HZ14" s="35">
        <v>100</v>
      </c>
      <c r="IA14" s="35">
        <v>100</v>
      </c>
      <c r="IB14" s="35">
        <v>100</v>
      </c>
      <c r="IC14" s="35">
        <v>100</v>
      </c>
      <c r="ID14" s="35">
        <v>100</v>
      </c>
      <c r="IE14" s="35">
        <v>100</v>
      </c>
      <c r="IF14" s="35">
        <v>100</v>
      </c>
      <c r="IG14" s="35">
        <v>100</v>
      </c>
      <c r="IH14" s="35">
        <v>100</v>
      </c>
      <c r="II14" s="35">
        <v>100</v>
      </c>
      <c r="IJ14" s="35">
        <v>100</v>
      </c>
      <c r="IK14" s="35">
        <v>100</v>
      </c>
      <c r="IL14" s="35">
        <v>100</v>
      </c>
      <c r="IM14" s="35">
        <v>100</v>
      </c>
      <c r="IN14" s="35">
        <v>100</v>
      </c>
      <c r="IO14" s="35">
        <v>100</v>
      </c>
      <c r="IP14" s="35">
        <v>100</v>
      </c>
      <c r="IQ14" s="35">
        <v>100</v>
      </c>
      <c r="IR14" s="35">
        <v>100</v>
      </c>
      <c r="IS14" s="35">
        <v>100</v>
      </c>
      <c r="IT14" s="35">
        <v>100</v>
      </c>
      <c r="IU14" s="35">
        <v>100</v>
      </c>
      <c r="IV14" s="35">
        <v>100</v>
      </c>
      <c r="IW14" s="35">
        <v>100</v>
      </c>
      <c r="IX14" s="35">
        <v>100</v>
      </c>
      <c r="IY14" s="35">
        <v>100</v>
      </c>
      <c r="IZ14" s="35">
        <v>100</v>
      </c>
      <c r="JA14" s="35">
        <v>100</v>
      </c>
      <c r="JB14" s="35">
        <v>96.37961370671</v>
      </c>
      <c r="JC14" s="35"/>
      <c r="JD14" s="42"/>
    </row>
    <row r="15" spans="1:267">
      <c r="A15" s="1"/>
      <c r="B15" s="1">
        <v>4</v>
      </c>
      <c r="C15" s="103">
        <v>44682</v>
      </c>
      <c r="D15" s="103">
        <v>44712.999988426</v>
      </c>
      <c r="F15" s="26">
        <v>5</v>
      </c>
      <c r="G15" s="34">
        <v>100</v>
      </c>
      <c r="H15" s="35">
        <v>100</v>
      </c>
      <c r="I15" s="35">
        <v>100</v>
      </c>
      <c r="J15" s="35">
        <v>100</v>
      </c>
      <c r="K15" s="35">
        <v>99.8106</v>
      </c>
      <c r="L15" s="35">
        <v>100</v>
      </c>
      <c r="M15" s="35">
        <v>100</v>
      </c>
      <c r="N15" s="35">
        <v>100</v>
      </c>
      <c r="O15" s="35">
        <v>100</v>
      </c>
      <c r="P15" s="35">
        <v>100</v>
      </c>
      <c r="Q15" s="35">
        <v>100</v>
      </c>
      <c r="R15" s="35">
        <v>100</v>
      </c>
      <c r="S15" s="39">
        <v>100</v>
      </c>
      <c r="T15" s="39">
        <v>100</v>
      </c>
      <c r="U15" s="35">
        <v>100</v>
      </c>
      <c r="V15" s="35">
        <v>100</v>
      </c>
      <c r="W15" s="35">
        <v>100</v>
      </c>
      <c r="X15" s="35">
        <v>99.9976</v>
      </c>
      <c r="Y15" s="35">
        <v>100</v>
      </c>
      <c r="Z15" s="35">
        <v>100</v>
      </c>
      <c r="AA15" s="35">
        <v>100</v>
      </c>
      <c r="AB15" s="35">
        <v>100</v>
      </c>
      <c r="AC15" s="35">
        <v>100</v>
      </c>
      <c r="AD15" s="35">
        <v>100</v>
      </c>
      <c r="AE15" s="35">
        <v>100</v>
      </c>
      <c r="AF15" s="35">
        <v>100</v>
      </c>
      <c r="AG15" s="35">
        <v>100</v>
      </c>
      <c r="AH15" s="35">
        <v>100</v>
      </c>
      <c r="AI15" s="35">
        <v>100</v>
      </c>
      <c r="AJ15" s="35">
        <v>100</v>
      </c>
      <c r="AK15" s="35">
        <v>100</v>
      </c>
      <c r="AL15" s="35">
        <v>100</v>
      </c>
      <c r="AM15" s="35"/>
      <c r="AN15" s="35">
        <v>100</v>
      </c>
      <c r="AO15" s="35">
        <v>100</v>
      </c>
      <c r="AP15" s="35">
        <v>100</v>
      </c>
      <c r="AQ15" s="35"/>
      <c r="AR15" s="35">
        <v>100</v>
      </c>
      <c r="AS15" s="35">
        <v>100</v>
      </c>
      <c r="AT15" s="35">
        <v>100</v>
      </c>
      <c r="AU15" s="35">
        <v>100</v>
      </c>
      <c r="AV15" s="35">
        <v>100</v>
      </c>
      <c r="AW15" s="35"/>
      <c r="AX15" s="35">
        <v>100</v>
      </c>
      <c r="AY15" s="35">
        <v>100</v>
      </c>
      <c r="AZ15" s="35">
        <v>100</v>
      </c>
      <c r="BA15" s="35">
        <v>100</v>
      </c>
      <c r="BB15" s="35"/>
      <c r="BC15" s="35">
        <v>100</v>
      </c>
      <c r="BD15" s="35">
        <v>100</v>
      </c>
      <c r="BE15" s="35">
        <v>0</v>
      </c>
      <c r="BF15" s="35">
        <v>100</v>
      </c>
      <c r="BG15" s="35"/>
      <c r="BH15" s="35">
        <v>100</v>
      </c>
      <c r="BI15" s="35">
        <v>100</v>
      </c>
      <c r="BJ15" s="35">
        <v>100</v>
      </c>
      <c r="BK15" s="35"/>
      <c r="BL15" s="35">
        <v>100</v>
      </c>
      <c r="BM15" s="35">
        <v>100</v>
      </c>
      <c r="BN15" s="35">
        <v>100</v>
      </c>
      <c r="BO15" s="35"/>
      <c r="BP15" s="35">
        <v>100</v>
      </c>
      <c r="BQ15" s="35">
        <v>100</v>
      </c>
      <c r="BR15" s="35">
        <v>100</v>
      </c>
      <c r="BS15" s="35"/>
      <c r="BT15" s="35">
        <v>100</v>
      </c>
      <c r="BU15" s="35">
        <v>100</v>
      </c>
      <c r="BV15" s="35">
        <v>100</v>
      </c>
      <c r="BW15" s="35">
        <v>100</v>
      </c>
      <c r="BX15" s="35">
        <v>100</v>
      </c>
      <c r="BY15" s="35">
        <v>100</v>
      </c>
      <c r="BZ15" s="35">
        <v>100</v>
      </c>
      <c r="CA15" s="35">
        <v>100</v>
      </c>
      <c r="CB15" s="35">
        <v>100</v>
      </c>
      <c r="CC15" s="35">
        <v>100</v>
      </c>
      <c r="CD15" s="35">
        <v>100</v>
      </c>
      <c r="CE15" s="35">
        <v>100</v>
      </c>
      <c r="CF15" s="35">
        <v>100</v>
      </c>
      <c r="CG15" s="35">
        <v>100</v>
      </c>
      <c r="CH15" s="35">
        <v>100</v>
      </c>
      <c r="CI15" s="35">
        <v>100</v>
      </c>
      <c r="CJ15" s="35">
        <v>100</v>
      </c>
      <c r="CK15" s="35">
        <v>100</v>
      </c>
      <c r="CL15" s="35">
        <v>100</v>
      </c>
      <c r="CM15" s="35">
        <v>0.0142</v>
      </c>
      <c r="CN15" s="35">
        <v>100</v>
      </c>
      <c r="CO15" s="35">
        <v>100</v>
      </c>
      <c r="CP15" s="35">
        <v>100</v>
      </c>
      <c r="CQ15" s="35">
        <v>100</v>
      </c>
      <c r="CR15" s="35">
        <v>100</v>
      </c>
      <c r="CS15" s="35">
        <v>100</v>
      </c>
      <c r="CT15" s="35">
        <v>100</v>
      </c>
      <c r="CU15" s="35">
        <v>100</v>
      </c>
      <c r="CV15" s="35">
        <v>100</v>
      </c>
      <c r="CW15" s="35">
        <v>100</v>
      </c>
      <c r="CX15" s="35">
        <v>99.5108</v>
      </c>
      <c r="CY15" s="35">
        <v>99.9784</v>
      </c>
      <c r="CZ15" s="35">
        <v>99.9704</v>
      </c>
      <c r="DA15" s="35">
        <v>99.9682</v>
      </c>
      <c r="DB15" s="35">
        <v>99.5411</v>
      </c>
      <c r="DC15" s="35">
        <v>99.9896</v>
      </c>
      <c r="DD15" s="35">
        <v>99.9768</v>
      </c>
      <c r="DE15" s="35">
        <v>99.9858</v>
      </c>
      <c r="DF15" s="35">
        <v>99.9888</v>
      </c>
      <c r="DG15" s="35">
        <v>99.9856</v>
      </c>
      <c r="DH15" s="35">
        <v>0.0174</v>
      </c>
      <c r="DI15" s="35">
        <v>100</v>
      </c>
      <c r="DJ15" s="35">
        <v>100</v>
      </c>
      <c r="DK15" s="35">
        <v>100</v>
      </c>
      <c r="DL15" s="35">
        <v>100</v>
      </c>
      <c r="DM15" s="35">
        <v>100</v>
      </c>
      <c r="DN15" s="35">
        <v>100</v>
      </c>
      <c r="DO15" s="35">
        <v>100</v>
      </c>
      <c r="DP15" s="35">
        <v>100</v>
      </c>
      <c r="DQ15" s="35">
        <v>100</v>
      </c>
      <c r="DR15" s="35">
        <v>100</v>
      </c>
      <c r="DS15" s="35">
        <v>100</v>
      </c>
      <c r="DT15" s="35">
        <v>100</v>
      </c>
      <c r="DU15" s="35">
        <v>100</v>
      </c>
      <c r="DV15" s="35">
        <v>100</v>
      </c>
      <c r="DW15" s="35">
        <v>100</v>
      </c>
      <c r="DX15" s="35">
        <v>100</v>
      </c>
      <c r="DY15" s="35">
        <v>100</v>
      </c>
      <c r="DZ15" s="35">
        <v>100</v>
      </c>
      <c r="EA15" s="35">
        <v>100</v>
      </c>
      <c r="EB15" s="35">
        <v>100</v>
      </c>
      <c r="EC15" s="35">
        <v>100</v>
      </c>
      <c r="ED15" s="35">
        <v>100</v>
      </c>
      <c r="EE15" s="35">
        <v>100</v>
      </c>
      <c r="EF15" s="35">
        <v>0.0124</v>
      </c>
      <c r="EG15" s="35">
        <v>100</v>
      </c>
      <c r="EH15" s="35">
        <v>75.9897</v>
      </c>
      <c r="EI15" s="35">
        <v>100</v>
      </c>
      <c r="EJ15" s="35">
        <v>75.9848</v>
      </c>
      <c r="EK15" s="35">
        <v>100</v>
      </c>
      <c r="EL15" s="35">
        <v>99.1747</v>
      </c>
      <c r="EM15" s="35">
        <v>100</v>
      </c>
      <c r="EN15" s="35">
        <v>99.17</v>
      </c>
      <c r="EO15" s="35">
        <v>100</v>
      </c>
      <c r="EP15" s="35">
        <v>100</v>
      </c>
      <c r="EQ15" s="35">
        <v>100</v>
      </c>
      <c r="ER15" s="35">
        <v>99.899</v>
      </c>
      <c r="ES15" s="35">
        <v>99.8968</v>
      </c>
      <c r="ET15" s="35">
        <v>100</v>
      </c>
      <c r="EU15" s="35">
        <v>100</v>
      </c>
      <c r="EV15" s="35">
        <v>100</v>
      </c>
      <c r="EW15" s="35">
        <v>100</v>
      </c>
      <c r="EX15" s="35">
        <v>100</v>
      </c>
      <c r="EY15" s="35">
        <v>100</v>
      </c>
      <c r="EZ15" s="35">
        <v>100</v>
      </c>
      <c r="FA15" s="35">
        <v>100</v>
      </c>
      <c r="FB15" s="35">
        <v>100</v>
      </c>
      <c r="FC15" s="35">
        <v>100</v>
      </c>
      <c r="FD15" s="35">
        <v>100</v>
      </c>
      <c r="FE15" s="35">
        <v>100</v>
      </c>
      <c r="FF15" s="35">
        <v>100</v>
      </c>
      <c r="FG15" s="35">
        <v>100</v>
      </c>
      <c r="FH15" s="35">
        <v>100</v>
      </c>
      <c r="FI15" s="35">
        <v>100</v>
      </c>
      <c r="FJ15" s="35">
        <v>100</v>
      </c>
      <c r="FK15" s="35">
        <v>100</v>
      </c>
      <c r="FL15" s="35">
        <v>0</v>
      </c>
      <c r="FM15" s="35">
        <v>0</v>
      </c>
      <c r="FN15" s="35">
        <v>100</v>
      </c>
      <c r="FO15" s="35">
        <v>100</v>
      </c>
      <c r="FP15" s="35">
        <v>100</v>
      </c>
      <c r="FQ15" s="35">
        <v>100</v>
      </c>
      <c r="FR15" s="35">
        <v>100</v>
      </c>
      <c r="FS15" s="35">
        <v>100</v>
      </c>
      <c r="FT15" s="35">
        <v>100</v>
      </c>
      <c r="FU15" s="35">
        <v>100</v>
      </c>
      <c r="FV15" s="35">
        <v>100</v>
      </c>
      <c r="FW15" s="35">
        <v>100</v>
      </c>
      <c r="FX15" s="35">
        <v>100</v>
      </c>
      <c r="FY15" s="35">
        <v>100</v>
      </c>
      <c r="FZ15" s="35">
        <v>100</v>
      </c>
      <c r="GA15" s="35">
        <v>100</v>
      </c>
      <c r="GB15" s="35">
        <v>100</v>
      </c>
      <c r="GC15" s="35">
        <v>100</v>
      </c>
      <c r="GD15" s="35">
        <v>100</v>
      </c>
      <c r="GE15" s="35">
        <v>100</v>
      </c>
      <c r="GF15" s="35">
        <v>100</v>
      </c>
      <c r="GG15" s="35">
        <v>100</v>
      </c>
      <c r="GH15" s="35">
        <v>100</v>
      </c>
      <c r="GI15" s="35">
        <v>100</v>
      </c>
      <c r="GJ15" s="35">
        <v>100</v>
      </c>
      <c r="GK15" s="35">
        <v>100</v>
      </c>
      <c r="GL15" s="35">
        <v>100</v>
      </c>
      <c r="GM15" s="35">
        <v>100</v>
      </c>
      <c r="GN15" s="35">
        <v>100</v>
      </c>
      <c r="GO15" s="35">
        <v>100</v>
      </c>
      <c r="GP15" s="35">
        <v>100</v>
      </c>
      <c r="GQ15" s="35">
        <v>100</v>
      </c>
      <c r="GR15" s="35">
        <v>100</v>
      </c>
      <c r="GS15" s="35">
        <v>100</v>
      </c>
      <c r="GT15" s="35">
        <v>100</v>
      </c>
      <c r="GU15" s="35">
        <v>100</v>
      </c>
      <c r="GV15" s="35">
        <v>100</v>
      </c>
      <c r="GW15" s="35">
        <v>100</v>
      </c>
      <c r="GX15" s="35">
        <v>100</v>
      </c>
      <c r="GY15" s="35">
        <v>100</v>
      </c>
      <c r="GZ15" s="35">
        <v>100</v>
      </c>
      <c r="HA15" s="35">
        <v>100</v>
      </c>
      <c r="HB15" s="35">
        <v>100</v>
      </c>
      <c r="HC15" s="35">
        <v>100</v>
      </c>
      <c r="HD15" s="35">
        <v>100</v>
      </c>
      <c r="HE15" s="35">
        <v>100</v>
      </c>
      <c r="HF15" s="35">
        <v>100</v>
      </c>
      <c r="HG15" s="35">
        <v>0</v>
      </c>
      <c r="HH15" s="35">
        <v>100</v>
      </c>
      <c r="HI15" s="35">
        <v>100</v>
      </c>
      <c r="HJ15" s="35">
        <v>0</v>
      </c>
      <c r="HK15" s="35">
        <v>100</v>
      </c>
      <c r="HL15" s="35">
        <v>91.6508</v>
      </c>
      <c r="HM15" s="35">
        <v>91.6468</v>
      </c>
      <c r="HN15" s="35">
        <v>91.6413</v>
      </c>
      <c r="HO15" s="35">
        <v>100</v>
      </c>
      <c r="HP15" s="35">
        <v>99.9826</v>
      </c>
      <c r="HQ15" s="35">
        <v>99.9913</v>
      </c>
      <c r="HR15" s="35">
        <v>99.9913</v>
      </c>
      <c r="HS15" s="35">
        <v>99.9959</v>
      </c>
      <c r="HT15" s="35">
        <v>99.9969</v>
      </c>
      <c r="HU15" s="35">
        <v>91.6452</v>
      </c>
      <c r="HV15" s="35">
        <v>100</v>
      </c>
      <c r="HW15" s="35">
        <v>100</v>
      </c>
      <c r="HX15" s="35">
        <v>100</v>
      </c>
      <c r="HY15" s="35">
        <v>99.9977</v>
      </c>
      <c r="HZ15" s="35">
        <v>99.9992</v>
      </c>
      <c r="IA15" s="35">
        <v>100</v>
      </c>
      <c r="IB15" s="35">
        <v>100</v>
      </c>
      <c r="IC15" s="35">
        <v>100</v>
      </c>
      <c r="ID15" s="35">
        <v>100</v>
      </c>
      <c r="IE15" s="35">
        <v>100</v>
      </c>
      <c r="IF15" s="35">
        <v>100</v>
      </c>
      <c r="IG15" s="35">
        <v>100</v>
      </c>
      <c r="IH15" s="35">
        <v>100</v>
      </c>
      <c r="II15" s="35">
        <v>100</v>
      </c>
      <c r="IJ15" s="35">
        <v>100</v>
      </c>
      <c r="IK15" s="35">
        <v>100</v>
      </c>
      <c r="IL15" s="35">
        <v>100</v>
      </c>
      <c r="IM15" s="35">
        <v>100</v>
      </c>
      <c r="IN15" s="35">
        <v>100</v>
      </c>
      <c r="IO15" s="35">
        <v>100</v>
      </c>
      <c r="IP15" s="35">
        <v>100</v>
      </c>
      <c r="IQ15" s="35">
        <v>100</v>
      </c>
      <c r="IR15" s="35">
        <v>100</v>
      </c>
      <c r="IS15" s="35">
        <v>100</v>
      </c>
      <c r="IT15" s="35">
        <v>100</v>
      </c>
      <c r="IU15" s="35">
        <v>100</v>
      </c>
      <c r="IV15" s="35">
        <v>100</v>
      </c>
      <c r="IW15" s="35">
        <v>100</v>
      </c>
      <c r="IX15" s="35">
        <v>100</v>
      </c>
      <c r="IY15" s="35">
        <v>100</v>
      </c>
      <c r="IZ15" s="35">
        <v>100</v>
      </c>
      <c r="JA15" s="35">
        <v>100</v>
      </c>
      <c r="JB15" s="35">
        <v>96.418631274521</v>
      </c>
      <c r="JC15" s="35"/>
      <c r="JD15" s="42"/>
    </row>
    <row r="16" spans="1:267">
      <c r="A16" s="1"/>
      <c r="F16" s="26"/>
      <c r="G16" s="34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9"/>
      <c r="T16" s="39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35"/>
      <c r="FT16" s="35"/>
      <c r="FU16" s="35"/>
      <c r="FV16" s="35"/>
      <c r="FW16" s="35"/>
      <c r="FX16" s="35"/>
      <c r="FY16" s="35"/>
      <c r="FZ16" s="35"/>
      <c r="GA16" s="35"/>
      <c r="GB16" s="35"/>
      <c r="GC16" s="35"/>
      <c r="GD16" s="35"/>
      <c r="GE16" s="35"/>
      <c r="GF16" s="35"/>
      <c r="GG16" s="35"/>
      <c r="GH16" s="35"/>
      <c r="GI16" s="35"/>
      <c r="GJ16" s="35"/>
      <c r="GK16" s="35"/>
      <c r="GL16" s="35"/>
      <c r="GM16" s="35"/>
      <c r="GN16" s="35"/>
      <c r="GO16" s="35"/>
      <c r="GP16" s="35"/>
      <c r="GQ16" s="35"/>
      <c r="GR16" s="35"/>
      <c r="GS16" s="35"/>
      <c r="GT16" s="35"/>
      <c r="GU16" s="35"/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35"/>
      <c r="HL16" s="35"/>
      <c r="HM16" s="35"/>
      <c r="HN16" s="35"/>
      <c r="HO16" s="35"/>
      <c r="HP16" s="35"/>
      <c r="HQ16" s="35"/>
      <c r="HR16" s="35"/>
      <c r="HS16" s="35"/>
      <c r="HT16" s="35"/>
      <c r="HU16" s="35"/>
      <c r="HV16" s="35"/>
      <c r="HW16" s="35"/>
      <c r="HX16" s="35"/>
      <c r="HY16" s="35"/>
      <c r="HZ16" s="35"/>
      <c r="IA16" s="35"/>
      <c r="IB16" s="35"/>
      <c r="IC16" s="35"/>
      <c r="ID16" s="35"/>
      <c r="IE16" s="35"/>
      <c r="IF16" s="35"/>
      <c r="IG16" s="35"/>
      <c r="IH16" s="35"/>
      <c r="II16" s="35"/>
      <c r="IJ16" s="35"/>
      <c r="IK16" s="35"/>
      <c r="IL16" s="35"/>
      <c r="IM16" s="35"/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35"/>
      <c r="JD16" s="42"/>
    </row>
    <row r="17" spans="1:267">
      <c r="A17" s="1"/>
      <c r="F17" s="26"/>
      <c r="G17" s="34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9"/>
      <c r="T17" s="39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5"/>
      <c r="GE17" s="35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5"/>
      <c r="GQ17" s="35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5"/>
      <c r="HO17" s="35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5"/>
      <c r="IA17" s="35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35"/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35"/>
      <c r="JD17" s="42"/>
    </row>
    <row r="18" spans="1:267">
      <c r="A18" s="1"/>
      <c r="F18" s="26"/>
      <c r="G18" s="34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9"/>
      <c r="T18" s="39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35"/>
      <c r="FT18" s="35"/>
      <c r="FU18" s="35"/>
      <c r="FV18" s="35"/>
      <c r="FW18" s="35"/>
      <c r="FX18" s="35"/>
      <c r="FY18" s="35"/>
      <c r="FZ18" s="35"/>
      <c r="GA18" s="35"/>
      <c r="GB18" s="35"/>
      <c r="GC18" s="35"/>
      <c r="GD18" s="35"/>
      <c r="GE18" s="35"/>
      <c r="GF18" s="35"/>
      <c r="GG18" s="35"/>
      <c r="GH18" s="35"/>
      <c r="GI18" s="35"/>
      <c r="GJ18" s="35"/>
      <c r="GK18" s="35"/>
      <c r="GL18" s="35"/>
      <c r="GM18" s="35"/>
      <c r="GN18" s="35"/>
      <c r="GO18" s="35"/>
      <c r="GP18" s="35"/>
      <c r="GQ18" s="35"/>
      <c r="GR18" s="35"/>
      <c r="GS18" s="35"/>
      <c r="GT18" s="35"/>
      <c r="GU18" s="35"/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35"/>
      <c r="HL18" s="35"/>
      <c r="HM18" s="35"/>
      <c r="HN18" s="35"/>
      <c r="HO18" s="35"/>
      <c r="HP18" s="35"/>
      <c r="HQ18" s="35"/>
      <c r="HR18" s="35"/>
      <c r="HS18" s="35"/>
      <c r="HT18" s="35"/>
      <c r="HU18" s="35"/>
      <c r="HV18" s="35"/>
      <c r="HW18" s="35"/>
      <c r="HX18" s="35"/>
      <c r="HY18" s="35"/>
      <c r="HZ18" s="35"/>
      <c r="IA18" s="35"/>
      <c r="IB18" s="35"/>
      <c r="IC18" s="35"/>
      <c r="ID18" s="35"/>
      <c r="IE18" s="35"/>
      <c r="IF18" s="35"/>
      <c r="IG18" s="35"/>
      <c r="IH18" s="35"/>
      <c r="II18" s="35"/>
      <c r="IJ18" s="35"/>
      <c r="IK18" s="35"/>
      <c r="IL18" s="35"/>
      <c r="IM18" s="35"/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35"/>
      <c r="JD18" s="42"/>
    </row>
    <row r="19" spans="1:267">
      <c r="A19" s="1"/>
      <c r="F19" s="26"/>
      <c r="G19" s="34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9"/>
      <c r="T19" s="39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35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5"/>
      <c r="GE19" s="35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5"/>
      <c r="GQ19" s="35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5"/>
      <c r="HO19" s="35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5"/>
      <c r="IA19" s="35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35"/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35"/>
      <c r="JD19" s="42"/>
    </row>
    <row r="20" spans="1:267">
      <c r="A20" s="1"/>
      <c r="F20" s="26"/>
      <c r="G20" s="34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9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42"/>
    </row>
    <row r="21" spans="1:267">
      <c r="A21" s="1"/>
      <c r="F21" s="26"/>
      <c r="G21" s="34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9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35"/>
      <c r="JD21" s="42"/>
    </row>
    <row r="22" spans="1:267">
      <c r="A22" s="1"/>
      <c r="F22" s="26"/>
      <c r="G22" s="34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9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/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35"/>
      <c r="JD22" s="42"/>
    </row>
    <row r="23" spans="1:267">
      <c r="A23" s="1"/>
      <c r="F23" s="26"/>
      <c r="G23" s="34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9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35"/>
      <c r="JD23" s="42"/>
    </row>
    <row r="24" spans="1:267">
      <c r="A24" s="1"/>
      <c r="F24" s="26"/>
      <c r="G24" s="34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9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35"/>
      <c r="JD24" s="42"/>
    </row>
    <row r="25" spans="1:267">
      <c r="A25" s="1"/>
      <c r="F25" s="26"/>
      <c r="G25" s="34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9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35"/>
      <c r="JD25" s="42"/>
    </row>
    <row r="26" spans="1:267">
      <c r="A26" s="1"/>
      <c r="F26" s="26"/>
      <c r="G26" s="34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9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35"/>
      <c r="JD26" s="42"/>
    </row>
    <row r="27" spans="1:267">
      <c r="A27" s="1"/>
      <c r="F27" s="26"/>
      <c r="G27" s="34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9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35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5"/>
      <c r="GE27" s="35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5"/>
      <c r="GQ27" s="35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5"/>
      <c r="HO27" s="35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5"/>
      <c r="IA27" s="35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35"/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35"/>
      <c r="JD27" s="42"/>
    </row>
    <row r="28" spans="1:267">
      <c r="A28" s="1"/>
      <c r="F28" s="26"/>
      <c r="G28" s="34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9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  <c r="IO28" s="35"/>
      <c r="IP28" s="35"/>
      <c r="IQ28" s="35"/>
      <c r="IR28" s="35"/>
      <c r="IS28" s="35"/>
      <c r="IT28" s="35"/>
      <c r="IU28" s="35"/>
      <c r="IV28" s="35"/>
      <c r="IW28" s="35"/>
      <c r="IX28" s="35"/>
      <c r="IY28" s="35"/>
      <c r="IZ28" s="35"/>
      <c r="JA28" s="35"/>
      <c r="JB28" s="35"/>
      <c r="JC28" s="35"/>
      <c r="JD28" s="42"/>
    </row>
    <row r="29" spans="1:267">
      <c r="A29" s="1"/>
      <c r="F29" s="26"/>
      <c r="G29" s="34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9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  <c r="IO29" s="35"/>
      <c r="IP29" s="35"/>
      <c r="IQ29" s="35"/>
      <c r="IR29" s="35"/>
      <c r="IS29" s="35"/>
      <c r="IT29" s="35"/>
      <c r="IU29" s="35"/>
      <c r="IV29" s="35"/>
      <c r="IW29" s="35"/>
      <c r="IX29" s="35"/>
      <c r="IY29" s="35"/>
      <c r="IZ29" s="35"/>
      <c r="JA29" s="35"/>
      <c r="JB29" s="35"/>
      <c r="JC29" s="35"/>
      <c r="JD29" s="42"/>
    </row>
    <row r="30" spans="1:267" customHeight="1" ht="15.75">
      <c r="A30" s="1" t="s">
        <v>315</v>
      </c>
      <c r="F30" s="27"/>
      <c r="G30" s="36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40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  <c r="EZ30" s="37"/>
      <c r="FA30" s="37"/>
      <c r="FB30" s="37"/>
      <c r="FC30" s="37"/>
      <c r="FD30" s="37"/>
      <c r="FE30" s="37"/>
      <c r="FF30" s="37"/>
      <c r="FG30" s="37"/>
      <c r="FH30" s="37"/>
      <c r="FI30" s="37"/>
      <c r="FJ30" s="37"/>
      <c r="FK30" s="37"/>
      <c r="FL30" s="37"/>
      <c r="FM30" s="37"/>
      <c r="FN30" s="37"/>
      <c r="FO30" s="37"/>
      <c r="FP30" s="37"/>
      <c r="FQ30" s="37"/>
      <c r="FR30" s="37"/>
      <c r="FS30" s="37"/>
      <c r="FT30" s="37"/>
      <c r="FU30" s="37"/>
      <c r="FV30" s="37"/>
      <c r="FW30" s="37"/>
      <c r="FX30" s="37"/>
      <c r="FY30" s="37"/>
      <c r="FZ30" s="37"/>
      <c r="GA30" s="37"/>
      <c r="GB30" s="37"/>
      <c r="GC30" s="37"/>
      <c r="GD30" s="37"/>
      <c r="GE30" s="37"/>
      <c r="GF30" s="37"/>
      <c r="GG30" s="37"/>
      <c r="GH30" s="37"/>
      <c r="GI30" s="37"/>
      <c r="GJ30" s="37"/>
      <c r="GK30" s="37"/>
      <c r="GL30" s="37"/>
      <c r="GM30" s="37"/>
      <c r="GN30" s="37"/>
      <c r="GO30" s="37"/>
      <c r="GP30" s="37"/>
      <c r="GQ30" s="37"/>
      <c r="GR30" s="37"/>
      <c r="GS30" s="37"/>
      <c r="GT30" s="37"/>
      <c r="GU30" s="37"/>
      <c r="GV30" s="37"/>
      <c r="GW30" s="37"/>
      <c r="GX30" s="37"/>
      <c r="GY30" s="37"/>
      <c r="GZ30" s="37"/>
      <c r="HA30" s="37"/>
      <c r="HB30" s="37"/>
      <c r="HC30" s="37"/>
      <c r="HD30" s="37"/>
      <c r="HE30" s="37"/>
      <c r="HF30" s="37"/>
      <c r="HG30" s="37"/>
      <c r="HH30" s="37"/>
      <c r="HI30" s="37"/>
      <c r="HJ30" s="37"/>
      <c r="HK30" s="37"/>
      <c r="HL30" s="37"/>
      <c r="HM30" s="37"/>
      <c r="HN30" s="37"/>
      <c r="HO30" s="37"/>
      <c r="HP30" s="37"/>
      <c r="HQ30" s="37"/>
      <c r="HR30" s="37"/>
      <c r="HS30" s="37"/>
      <c r="HT30" s="37"/>
      <c r="HU30" s="37"/>
      <c r="HV30" s="37"/>
      <c r="HW30" s="37"/>
      <c r="HX30" s="37"/>
      <c r="HY30" s="37"/>
      <c r="HZ30" s="37"/>
      <c r="IA30" s="37"/>
      <c r="IB30" s="37"/>
      <c r="IC30" s="37"/>
      <c r="ID30" s="37"/>
      <c r="IE30" s="37"/>
      <c r="IF30" s="37"/>
      <c r="IG30" s="37"/>
      <c r="IH30" s="37"/>
      <c r="II30" s="37"/>
      <c r="IJ30" s="37"/>
      <c r="IK30" s="37"/>
      <c r="IL30" s="37"/>
      <c r="IM30" s="37"/>
      <c r="IN30" s="37"/>
      <c r="IO30" s="37"/>
      <c r="IP30" s="37"/>
      <c r="IQ30" s="37"/>
      <c r="IR30" s="37"/>
      <c r="IS30" s="37"/>
      <c r="IT30" s="37"/>
      <c r="IU30" s="37"/>
      <c r="IV30" s="37"/>
      <c r="IW30" s="37"/>
      <c r="IX30" s="37"/>
      <c r="IY30" s="37"/>
      <c r="IZ30" s="37"/>
      <c r="JA30" s="37"/>
      <c r="JB30" s="37"/>
      <c r="JC30" s="37"/>
      <c r="JD30" s="43"/>
    </row>
    <row r="31" spans="1:267">
      <c r="A31" s="1" t="s">
        <v>316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N5:O5"/>
    <mergeCell ref="K5:L5"/>
  </mergeCells>
  <printOptions gridLines="false" gridLinesSet="true"/>
  <pageMargins left="0.23622047244094" right="0.23622047244094" top="0.74803149606299" bottom="0.74803149606299" header="0.31496062992126" footer="0.31496062992126"/>
  <pageSetup paperSize="9" orientation="landscape" scale="100" fitToHeight="1" fitToWidth="1"/>
  <headerFooter differentOddEven="false" differentFirst="false" scaleWithDoc="true" alignWithMargins="true">
    <oddHeader/>
    <oddFooter>Page &amp;P&amp;RBoarding Bridges</oddFooter>
    <evenHeader/>
    <evenFooter/>
    <firstHeader/>
    <first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REPDEF</vt:lpstr>
      <vt:lpstr>FIRST PAGE</vt:lpstr>
      <vt:lpstr>REPORT</vt:lpstr>
    </vt:vector>
  </TitlesOfParts>
  <Company>Nexis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Airport Monitoring System</dc:creator>
  <cp:lastModifiedBy>desmete</cp:lastModifiedBy>
  <dcterms:created xsi:type="dcterms:W3CDTF">2014-10-05T03:36:43+00:00</dcterms:created>
  <dcterms:modified xsi:type="dcterms:W3CDTF">2019-02-27T14:14:57+00:00</dcterms:modified>
  <dc:title>KPI 203 Monthly 2022</dc:title>
  <dc:description/>
  <dc:subject>start-date - end-date 17:00 - 20:00</dc:subject>
  <cp:keywords/>
  <cp:category/>
</cp:coreProperties>
</file>