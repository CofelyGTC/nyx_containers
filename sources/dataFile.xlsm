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3.xml" ContentType="application/vnd.openxmlformats-officedocument.drawing+xml"/>
  <Default Extension="png" ContentType="image/png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1" firstSheet="0" minimized="0" showHorizontalScroll="1" showSheetTabs="1" showVerticalScroll="1" tabRatio="600" visibility="visible"/>
  </bookViews>
  <sheets>
    <sheet name="REPDEF" sheetId="1" r:id="rId4"/>
    <sheet name="REPORT" sheetId="2" r:id="rId5"/>
    <sheet name="CHART" sheetId="3" r:id="rId6"/>
  </sheets>
  <definedNames>
    <definedName name="EQVAL" localSheetId="2">'CHART'!$E$9:$X$29</definedName>
    <definedName name="EQVAL">'REPORT'!$G$11:$AD$62</definedName>
    <definedName name="INTVAL" localSheetId="2">'CHART'!$D$9:$D$29</definedName>
    <definedName name="INTVAL">'REPORT'!$F$11:$F$62</definedName>
    <definedName name="GRP_897">'REPORT'!$G$11:$G$62</definedName>
    <definedName name="GRP_897_NAME">'REPORT'!$G$8</definedName>
    <definedName name="GRP_898">'REPORT'!$H$11:$H$62</definedName>
    <definedName name="GRP_898_NAME">'REPORT'!$H$8</definedName>
    <definedName name="GRP_899">'REPORT'!$I$11:$I$62</definedName>
    <definedName name="GRP_899_NAME">'REPORT'!$I$8</definedName>
    <definedName name="GRP_900">'REPORT'!$J$11:$J$62</definedName>
    <definedName name="GRP_900_NAME">'REPORT'!$J$8</definedName>
    <definedName name="GRP_901">'REPORT'!$K$11:$K$62</definedName>
    <definedName name="GRP_901_NAME">'REPORT'!$K$8</definedName>
    <definedName name="GRP_902">'REPORT'!$L$11:$L$62</definedName>
    <definedName name="GRP_902_NAME">'REPORT'!$L$8</definedName>
    <definedName name="GRP_903">'REPORT'!$M$11:$M$62</definedName>
    <definedName name="GRP_903_NAME">'REPORT'!$M$8</definedName>
    <definedName name="GRP_904">'REPORT'!$N$11:$N$62</definedName>
    <definedName name="GRP_904_NAME">'REPORT'!$N$8</definedName>
    <definedName name="GRP_905">'REPORT'!$O$11:$O$62</definedName>
    <definedName name="GRP_905_NAME">'REPORT'!$O$8</definedName>
    <definedName name="GRP_906">'REPORT'!$P$11:$P$62</definedName>
    <definedName name="GRP_906_NAME">'REPORT'!$P$8</definedName>
    <definedName name="GRP_907">'REPORT'!$Q$11:$Q$62</definedName>
    <definedName name="GRP_907_NAME">'REPORT'!$Q$8</definedName>
    <definedName name="GRP_908">'REPORT'!$R$11:$R$62</definedName>
    <definedName name="GRP_908_NAME">'REPORT'!$R$8</definedName>
    <definedName name="GRP_909">'REPORT'!$S$11:$S$62</definedName>
    <definedName name="GRP_909_NAME">'REPORT'!$S$8</definedName>
    <definedName name="GRP_910">'REPORT'!$T$11:$T$62</definedName>
    <definedName name="GRP_910_NAME">'REPORT'!$T$8</definedName>
    <definedName name="GRP_911">'REPORT'!$U$11:$U$62</definedName>
    <definedName name="GRP_911_NAME">'REPORT'!$U$8</definedName>
    <definedName name="GRP_912">'REPORT'!$V$11:$V$62</definedName>
    <definedName name="GRP_912_NAME">'REPORT'!$V$8</definedName>
    <definedName name="GRP_913">'REPORT'!$W$11:$W$62</definedName>
    <definedName name="GRP_913_NAME">'REPORT'!$W$8</definedName>
    <definedName name="GRP_914">'REPORT'!$X$11:$X$62</definedName>
    <definedName name="GRP_914_NAME">'REPORT'!$X$8</definedName>
    <definedName name="GRP_915">'REPORT'!$Y$11:$Y$62</definedName>
    <definedName name="GRP_915_NAME">'REPORT'!$Y$8</definedName>
    <definedName name="GRP_916">'REPORT'!$Z$11:$Z$62</definedName>
    <definedName name="GRP_916_NAME">'REPORT'!$Z$8</definedName>
    <definedName name="GRP_917">'REPORT'!$AA$11:$AA$62</definedName>
    <definedName name="GRP_917_NAME">'REPORT'!$AA$8</definedName>
    <definedName name="GRP_918">'REPORT'!$AB$11:$AB$62</definedName>
    <definedName name="GRP_918_NAME">'REPORT'!$AB$8</definedName>
    <definedName name="GRP_919">'REPORT'!$AC$11:$AC$62</definedName>
    <definedName name="GRP_919_NAME">'REPORT'!$AC$8</definedName>
    <definedName name="_xlnm.Print_Titles" localSheetId="1">'REPORT'!$E:$F,'REPORT'!$4:$10</definedName>
    <definedName name="_xlnm.Print_Titles" localSheetId="2">'CHART'!$A:$D,'CHART'!$2:$8</definedName>
  </definedNames>
  <calcPr calcId="999999" calcMode="auto" calcCompleted="0" fullCalcOnLoad="1"/>
</workbook>
</file>

<file path=xl/sharedStrings.xml><?xml version="1.0" encoding="utf-8"?>
<sst xmlns="http://schemas.openxmlformats.org/spreadsheetml/2006/main" uniqueCount="96">
  <si>
    <t>id</t>
  </si>
  <si>
    <t>id_report</t>
  </si>
  <si>
    <t>name</t>
  </si>
  <si>
    <t>excel_sheet</t>
  </si>
  <si>
    <t>report_type</t>
  </si>
  <si>
    <t>group_values_only</t>
  </si>
  <si>
    <t>interval</t>
  </si>
  <si>
    <t>user_groups</t>
  </si>
  <si>
    <t>restrict_user_id</t>
  </si>
  <si>
    <t>cycle</t>
  </si>
  <si>
    <t>iterations</t>
  </si>
  <si>
    <t>id_user</t>
  </si>
  <si>
    <t>status</t>
  </si>
  <si>
    <t>start_date</t>
  </si>
  <si>
    <t>end_date</t>
  </si>
  <si>
    <t>start_time</t>
  </si>
  <si>
    <t>end_time</t>
  </si>
  <si>
    <t>email</t>
  </si>
  <si>
    <t>no_maintenance</t>
  </si>
  <si>
    <t>g_start_date</t>
  </si>
  <si>
    <t>g_end_date</t>
  </si>
  <si>
    <t>point_groups</t>
  </si>
  <si>
    <t>KPI GTZ PB PCA 05-21 2019</t>
  </si>
  <si>
    <t>availability_operability_KPI_mtce</t>
  </si>
  <si>
    <t>day</t>
  </si>
  <si>
    <t>-510-29-403-</t>
  </si>
  <si>
    <t>running</t>
  </si>
  <si>
    <t>karl.holst@engie.com, gtb.cofely.be@app.engie.com,daniel.verhaegen@engie.com,bacavailabilities@cofelygtc.com,nflandre@nflandre.be</t>
  </si>
  <si>
    <t>-1-2-</t>
  </si>
  <si>
    <t>RFLAG</t>
  </si>
  <si>
    <t>PNUM</t>
  </si>
  <si>
    <t>SDATE</t>
  </si>
  <si>
    <t>EDATE</t>
  </si>
  <si>
    <t>INTID</t>
  </si>
  <si>
    <t>EQ1</t>
  </si>
  <si>
    <t>EQN</t>
  </si>
  <si>
    <t>GRPID</t>
  </si>
  <si>
    <t>GRP_897</t>
  </si>
  <si>
    <t>GRP_898</t>
  </si>
  <si>
    <t>GRP_899</t>
  </si>
  <si>
    <t>GRP_900</t>
  </si>
  <si>
    <t>GRP_901</t>
  </si>
  <si>
    <t>GRP_902</t>
  </si>
  <si>
    <t>GRP_903</t>
  </si>
  <si>
    <t>GRP_904</t>
  </si>
  <si>
    <t>GRP_905</t>
  </si>
  <si>
    <t>GRP_906</t>
  </si>
  <si>
    <t>GRP_907</t>
  </si>
  <si>
    <t>GRP_908</t>
  </si>
  <si>
    <t>GRP_909</t>
  </si>
  <si>
    <t>GRP_910</t>
  </si>
  <si>
    <t>GRP_911</t>
  </si>
  <si>
    <t>GRP_912</t>
  </si>
  <si>
    <t>GRP_913</t>
  </si>
  <si>
    <t>GRP_914</t>
  </si>
  <si>
    <t>GRP_915</t>
  </si>
  <si>
    <t>GRP_916</t>
  </si>
  <si>
    <t>GRP_917</t>
  </si>
  <si>
    <t>GRP_918</t>
  </si>
  <si>
    <t>GRP_919</t>
  </si>
  <si>
    <t>Ign. Mtce.</t>
  </si>
  <si>
    <t>-</t>
  </si>
  <si>
    <t>Interval:</t>
  </si>
  <si>
    <t>EQT</t>
  </si>
  <si>
    <t>EQ</t>
  </si>
  <si>
    <t>GTZ_FB_PCA_B04</t>
  </si>
  <si>
    <t>GTZ_FB_PCA_05</t>
  </si>
  <si>
    <t>GTZ_FB_PCA_B06</t>
  </si>
  <si>
    <t>GTZ_FB_PCA_B07</t>
  </si>
  <si>
    <t>GTZ_FB_PCA_B08</t>
  </si>
  <si>
    <t>GTZ_FB_PCA_B09</t>
  </si>
  <si>
    <t>GTZ_FB_PCA_B10</t>
  </si>
  <si>
    <t>GTZ_FB_PCA_B11</t>
  </si>
  <si>
    <t>GTZ_FB_PCA_14</t>
  </si>
  <si>
    <t>GTZ_FB_PCA_B15</t>
  </si>
  <si>
    <t>GTZ_FB_PCA_B17</t>
  </si>
  <si>
    <t>GTZ_FB_PCA_B27</t>
  </si>
  <si>
    <t>GTZ_FB_PCA_28</t>
  </si>
  <si>
    <t>GTZ_FB_PCA_B29</t>
  </si>
  <si>
    <t>GTZ_FB_PCA_B30</t>
  </si>
  <si>
    <t>GTZ_FB_PCA_B31</t>
  </si>
  <si>
    <t>GTZ_FB_PCA_B32</t>
  </si>
  <si>
    <t>GTZ_FB_PCA_B33</t>
  </si>
  <si>
    <t>GTZ_FB_PCA_B34</t>
  </si>
  <si>
    <t>GTZ_FB_PCA_B36</t>
  </si>
  <si>
    <t>GTZ_FB_PCA_B37</t>
  </si>
  <si>
    <t>GTZ_FB_PCA_B38</t>
  </si>
  <si>
    <t>GTZ_FB_PCA_B40</t>
  </si>
  <si>
    <t>OBJ</t>
  </si>
  <si>
    <t>NUMEQ</t>
  </si>
  <si>
    <t>#EQ</t>
  </si>
  <si>
    <t>P1</t>
  </si>
  <si>
    <t>PN</t>
  </si>
  <si>
    <t>LL</t>
  </si>
  <si>
    <t>TARGET LEVEL</t>
  </si>
  <si>
    <t>WEEK</t>
  </si>
</sst>
</file>

<file path=xl/styles.xml><?xml version="1.0" encoding="utf-8"?>
<styleSheet xmlns="http://schemas.openxmlformats.org/spreadsheetml/2006/main" xml:space="preserve">
  <numFmts count="4">
    <numFmt numFmtId="164" formatCode="h:mm;@"/>
    <numFmt numFmtId="165" formatCode="dd\-mm\-yy;@"/>
    <numFmt numFmtId="166" formatCode="d/m/y h:mm"/>
    <numFmt numFmtId="167" formatCode="yyyy-mm-dd"/>
  </numFmts>
  <fonts count="6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000000"/>
      <name val="Times New Roman"/>
    </font>
    <font>
      <b val="1"/>
      <i val="0"/>
      <strike val="0"/>
      <u val="none"/>
      <sz val="14"/>
      <color rgb="FF000000"/>
      <name val="Times New Roman"/>
    </font>
    <font>
      <b val="1"/>
      <i val="0"/>
      <strike val="0"/>
      <u val="none"/>
      <sz val="11"/>
      <color rgb="FF000000"/>
      <name val="Times New Roman"/>
    </font>
    <font>
      <b val="0"/>
      <i val="0"/>
      <strike val="0"/>
      <u val="none"/>
      <sz val="11"/>
      <color rgb="FF4D5D2C"/>
      <name val="Times New Roman"/>
    </font>
    <font>
      <b val="1"/>
      <i val="0"/>
      <strike val="0"/>
      <u val="none"/>
      <sz val="12"/>
      <color rgb="FF000000"/>
      <name val="Times New Roman"/>
    </font>
  </fonts>
  <fills count="5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  <fill>
      <patternFill patternType="solid">
        <fgColor rgb="FFBFBFBF"/>
        <bgColor rgb="FFFFFFFF"/>
      </patternFill>
    </fill>
    <fill>
      <patternFill patternType="solid">
        <fgColor rgb="FFD8D8D8"/>
        <bgColor rgb="FFFFFFFF"/>
      </patternFill>
    </fill>
  </fills>
  <borders count="40">
    <border/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medium">
        <color rgb="FF000000"/>
      </right>
      <bottom style="medium">
        <color rgb="FF000000"/>
      </bottom>
    </border>
  </borders>
  <cellStyleXfs count="1">
    <xf numFmtId="0" fontId="0" fillId="0" borderId="0"/>
  </cellStyleXfs>
  <cellXfs count="83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1" applyFont="1" applyNumberFormat="0" applyFill="0" applyBorder="1" applyAlignment="0">
      <alignment horizontal="general" vertical="bottom" textRotation="0" wrapText="false" shrinkToFit="false"/>
    </xf>
    <xf xfId="0" fontId="1" numFmtId="0" fillId="2" borderId="2" applyFont="1" applyNumberFormat="0" applyFill="0" applyBorder="1" applyAlignment="0">
      <alignment horizontal="general" vertical="bottom" textRotation="0" wrapText="false" shrinkToFit="false"/>
    </xf>
    <xf xfId="0" fontId="1" numFmtId="0" fillId="2" borderId="3" applyFont="1" applyNumberFormat="0" applyFill="0" applyBorder="1" applyAlignment="0">
      <alignment horizontal="general" vertical="bottom" textRotation="0" wrapText="false" shrinkToFit="false"/>
    </xf>
    <xf xfId="0" fontId="1" numFmtId="0" fillId="3" borderId="0" applyFont="1" applyNumberFormat="0" applyFill="1" applyBorder="0" applyAlignment="0">
      <alignment horizontal="general" vertical="bottom" textRotation="0" wrapText="false" shrinkToFit="false"/>
    </xf>
    <xf xfId="0" fontId="1" numFmtId="0" fillId="2" borderId="4" applyFont="1" applyNumberFormat="0" applyFill="0" applyBorder="1" applyAlignment="0">
      <alignment horizontal="general" vertical="bottom" textRotation="0" wrapText="false" shrinkToFit="false"/>
    </xf>
    <xf xfId="0" fontId="1" numFmtId="0" fillId="2" borderId="5" applyFont="1" applyNumberFormat="0" applyFill="0" applyBorder="1" applyAlignment="0">
      <alignment horizontal="general" vertical="bottom" textRotation="0" wrapText="false" shrinkToFit="false"/>
    </xf>
    <xf xfId="0" fontId="1" numFmtId="0" fillId="2" borderId="6" applyFont="1" applyNumberFormat="0" applyFill="0" applyBorder="1" applyAlignment="0">
      <alignment horizontal="general" vertical="bottom" textRotation="0" wrapText="false" shrinkToFit="false"/>
    </xf>
    <xf xfId="0" fontId="1" numFmtId="0" fillId="2" borderId="7" applyFont="1" applyNumberFormat="0" applyFill="0" applyBorder="1" applyAlignment="0">
      <alignment horizontal="general" vertical="bottom" textRotation="0" wrapText="false" shrinkToFit="false"/>
    </xf>
    <xf xfId="0" fontId="1" numFmtId="0" fillId="2" borderId="8" applyFont="1" applyNumberFormat="0" applyFill="0" applyBorder="1" applyAlignment="0">
      <alignment horizontal="general" vertical="bottom" textRotation="0" wrapText="false" shrinkToFit="false"/>
    </xf>
    <xf xfId="0" fontId="1" numFmtId="0" fillId="2" borderId="9" applyFont="1" applyNumberFormat="0" applyFill="0" applyBorder="1" applyAlignment="0">
      <alignment horizontal="general" vertical="bottom" textRotation="0" wrapText="false" shrinkToFit="false"/>
    </xf>
    <xf xfId="0" fontId="1" numFmtId="0" fillId="2" borderId="10" applyFont="1" applyNumberFormat="0" applyFill="0" applyBorder="1" applyAlignment="0">
      <alignment horizontal="general" vertical="bottom" textRotation="0" wrapText="false" shrinkToFit="false"/>
    </xf>
    <xf xfId="0" fontId="2" numFmtId="0" fillId="2" borderId="10" applyFont="1" applyNumberFormat="0" applyFill="0" applyBorder="1" applyAlignment="0">
      <alignment horizontal="general" vertical="bottom" textRotation="0" wrapText="false" shrinkToFit="false"/>
    </xf>
    <xf xfId="0" fontId="1" numFmtId="0" fillId="2" borderId="11" applyFont="1" applyNumberFormat="0" applyFill="0" applyBorder="1" applyAlignment="0">
      <alignment horizontal="general" vertical="bottom" textRotation="0" wrapText="false" shrinkToFit="false"/>
    </xf>
    <xf xfId="0" fontId="1" numFmtId="0" fillId="2" borderId="12" applyFont="1" applyNumberFormat="0" applyFill="0" applyBorder="1" applyAlignment="0">
      <alignment horizontal="general" vertical="bottom" textRotation="0" wrapText="false" shrinkToFit="false"/>
    </xf>
    <xf xfId="0" fontId="1" numFmtId="0" fillId="2" borderId="13" applyFont="1" applyNumberFormat="0" applyFill="0" applyBorder="1" applyAlignment="0">
      <alignment horizontal="general" vertical="bottom" textRotation="0" wrapText="false" shrinkToFit="false"/>
    </xf>
    <xf xfId="0" fontId="1" numFmtId="0" fillId="2" borderId="14" applyFont="1" applyNumberFormat="0" applyFill="0" applyBorder="1" applyAlignment="0">
      <alignment horizontal="general" vertical="bottom" textRotation="0" wrapText="false" shrinkToFit="false"/>
    </xf>
    <xf xfId="0" fontId="1" numFmtId="0" fillId="2" borderId="15" applyFont="1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0">
      <alignment horizontal="general" vertical="bottom" textRotation="0" wrapText="false" shrinkToFit="false"/>
    </xf>
    <xf xfId="0" fontId="1" numFmtId="164" fillId="2" borderId="16" applyFont="1" applyNumberFormat="1" applyFill="0" applyBorder="1" applyAlignment="0">
      <alignment horizontal="general" vertical="bottom" textRotation="0" wrapText="false" shrinkToFit="false"/>
    </xf>
    <xf xfId="0" fontId="1" numFmtId="0" fillId="2" borderId="17" applyFont="1" applyNumberFormat="0" applyFill="0" applyBorder="1" applyAlignment="0">
      <alignment horizontal="general" vertical="bottom" textRotation="0" wrapText="false" shrinkToFit="false"/>
    </xf>
    <xf xfId="0" fontId="3" numFmtId="0" fillId="2" borderId="18" applyFont="1" applyNumberFormat="0" applyFill="0" applyBorder="1" applyAlignment="1">
      <alignment horizontal="general" vertical="bottom" textRotation="90" wrapText="false" shrinkToFit="false"/>
    </xf>
    <xf xfId="0" fontId="3" numFmtId="0" fillId="2" borderId="19" applyFont="1" applyNumberFormat="0" applyFill="0" applyBorder="1" applyAlignment="1">
      <alignment horizontal="general" vertical="bottom" textRotation="90" wrapText="false" shrinkToFit="false"/>
    </xf>
    <xf xfId="0" fontId="3" numFmtId="0" fillId="2" borderId="20" applyFont="1" applyNumberFormat="0" applyFill="0" applyBorder="1" applyAlignment="1">
      <alignment horizontal="general" vertical="bottom" textRotation="90" wrapText="false" shrinkToFit="false"/>
    </xf>
    <xf xfId="0" fontId="3" numFmtId="0" fillId="2" borderId="21" applyFont="1" applyNumberFormat="0" applyFill="0" applyBorder="1" applyAlignment="1">
      <alignment horizontal="general" vertical="bottom" textRotation="90" wrapText="false" shrinkToFit="false"/>
    </xf>
    <xf xfId="0" fontId="3" numFmtId="0" fillId="2" borderId="22" applyFont="1" applyNumberFormat="0" applyFill="0" applyBorder="1" applyAlignment="0">
      <alignment horizontal="general" vertical="bottom" textRotation="0" wrapText="false" shrinkToFit="false"/>
    </xf>
    <xf xfId="0" fontId="1" numFmtId="0" fillId="2" borderId="23" applyFont="1" applyNumberFormat="0" applyFill="0" applyBorder="1" applyAlignment="0">
      <alignment horizontal="general" vertical="bottom" textRotation="0" wrapText="false" shrinkToFit="false"/>
    </xf>
    <xf xfId="0" fontId="1" numFmtId="0" fillId="2" borderId="24" applyFont="1" applyNumberFormat="0" applyFill="0" applyBorder="1" applyAlignment="0">
      <alignment horizontal="general" vertical="bottom" textRotation="0" wrapText="false" shrinkToFit="false"/>
    </xf>
    <xf xfId="0" fontId="3" numFmtId="0" fillId="2" borderId="25" applyFont="1" applyNumberFormat="0" applyFill="0" applyBorder="1" applyAlignment="1">
      <alignment horizontal="general" vertical="bottom" textRotation="90" wrapText="false" shrinkToFit="false"/>
    </xf>
    <xf xfId="0" fontId="3" numFmtId="0" fillId="2" borderId="21" applyFont="1" applyNumberFormat="0" applyFill="0" applyBorder="1" applyAlignment="0">
      <alignment horizontal="general" vertical="bottom" textRotation="0" wrapText="false" shrinkToFit="false"/>
    </xf>
    <xf xfId="0" fontId="3" numFmtId="0" fillId="2" borderId="24" applyFont="1" applyNumberFormat="0" applyFill="0" applyBorder="1" applyAlignment="0">
      <alignment horizontal="general" vertical="bottom" textRotation="0" wrapText="false" shrinkToFit="false"/>
    </xf>
    <xf xfId="0" fontId="1" numFmtId="0" fillId="2" borderId="22" applyFont="1" applyNumberFormat="0" applyFill="0" applyBorder="1" applyAlignment="0">
      <alignment horizontal="general" vertical="bottom" textRotation="0" wrapText="false" shrinkToFit="false"/>
    </xf>
    <xf xfId="0" fontId="3" numFmtId="0" fillId="3" borderId="0" applyFont="1" applyNumberFormat="0" applyFill="1" applyBorder="0" applyAlignment="1">
      <alignment horizontal="general" vertical="bottom" textRotation="90" wrapText="false" shrinkToFit="false"/>
    </xf>
    <xf xfId="0" fontId="1" numFmtId="0" fillId="2" borderId="26" applyFont="1" applyNumberFormat="0" applyFill="0" applyBorder="1" applyAlignment="0">
      <alignment horizontal="general" vertical="bottom" textRotation="0" wrapText="false" shrinkToFit="false"/>
    </xf>
    <xf xfId="0" fontId="1" numFmtId="0" fillId="2" borderId="27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29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31" applyFont="1" applyNumberFormat="0" applyFill="0" applyBorder="1" applyAlignment="0">
      <alignment horizontal="general" vertical="bottom" textRotation="0" wrapText="false" shrinkToFit="false"/>
    </xf>
    <xf xfId="0" fontId="1" numFmtId="0" fillId="2" borderId="32" applyFont="1" applyNumberFormat="0" applyFill="0" applyBorder="1" applyAlignment="0">
      <alignment horizontal="general" vertical="bottom" textRotation="0" wrapText="false" shrinkToFit="false"/>
    </xf>
    <xf xfId="0" fontId="1" numFmtId="0" fillId="2" borderId="33" applyFont="1" applyNumberFormat="0" applyFill="0" applyBorder="1" applyAlignment="0">
      <alignment horizontal="general" vertical="bottom" textRotation="0" wrapText="false" shrinkToFit="false"/>
    </xf>
    <xf xfId="0" fontId="1" numFmtId="0" fillId="2" borderId="34" applyFont="1" applyNumberFormat="0" applyFill="0" applyBorder="1" applyAlignment="0">
      <alignment horizontal="general" vertical="bottom" textRotation="0" wrapText="false" shrinkToFit="false"/>
    </xf>
    <xf xfId="0" fontId="1" numFmtId="0" fillId="2" borderId="35" applyFont="1" applyNumberFormat="0" applyFill="0" applyBorder="1" applyAlignment="0">
      <alignment horizontal="general" vertical="bottom" textRotation="0" wrapText="false" shrinkToFit="false"/>
    </xf>
    <xf xfId="0" fontId="1" numFmtId="0" fillId="2" borderId="36" applyFont="1" applyNumberFormat="0" applyFill="0" applyBorder="1" applyAlignment="0">
      <alignment horizontal="general" vertical="bottom" textRotation="0" wrapText="false" shrinkToFit="false"/>
    </xf>
    <xf xfId="0" fontId="1" numFmtId="0" fillId="2" borderId="37" applyFont="1" applyNumberFormat="0" applyFill="0" applyBorder="1" applyAlignment="0">
      <alignment horizontal="general" vertical="bottom" textRotation="0" wrapText="false" shrinkToFit="false"/>
    </xf>
    <xf xfId="0" fontId="1" numFmtId="0" fillId="2" borderId="27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33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31" applyFont="1" applyNumberFormat="0" applyFill="0" applyBorder="1" applyAlignment="0">
      <alignment horizontal="general" vertical="bottom" textRotation="0" wrapText="false" shrinkToFit="false"/>
    </xf>
    <xf xfId="0" fontId="1" numFmtId="0" fillId="2" borderId="34" applyFont="1" applyNumberFormat="0" applyFill="0" applyBorder="1" applyAlignment="0">
      <alignment horizontal="general" vertical="bottom" textRotation="0" wrapText="false" shrinkToFit="false"/>
    </xf>
    <xf xfId="0" fontId="0" numFmtId="0" fillId="2" borderId="4" applyFont="0" applyNumberFormat="0" applyFill="0" applyBorder="1" applyAlignment="0">
      <alignment horizontal="general" vertical="bottom" textRotation="0" wrapText="false" shrinkToFit="false"/>
    </xf>
    <xf xfId="0" fontId="0" numFmtId="0" fillId="2" borderId="1" applyFont="0" applyNumberFormat="0" applyFill="0" applyBorder="1" applyAlignment="0">
      <alignment horizontal="general" vertical="bottom" textRotation="0" wrapText="false" shrinkToFit="false"/>
    </xf>
    <xf xfId="0" fontId="0" numFmtId="0" fillId="2" borderId="2" applyFont="0" applyNumberFormat="0" applyFill="0" applyBorder="1" applyAlignment="0">
      <alignment horizontal="general" vertical="bottom" textRotation="0" wrapText="false" shrinkToFit="false"/>
    </xf>
    <xf xfId="0" fontId="0" numFmtId="0" fillId="2" borderId="5" applyFont="0" applyNumberFormat="0" applyFill="0" applyBorder="1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2" borderId="6" applyFont="0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1">
      <alignment horizontal="center" vertical="center" textRotation="0" wrapText="false" shrinkToFit="false"/>
    </xf>
    <xf xfId="0" fontId="1" numFmtId="0" fillId="4" borderId="26" applyFont="1" applyNumberFormat="0" applyFill="1" applyBorder="1" applyAlignment="0">
      <alignment horizontal="general" vertical="bottom" textRotation="0" wrapText="false" shrinkToFit="false"/>
    </xf>
    <xf xfId="0" fontId="1" numFmtId="0" fillId="4" borderId="27" applyFont="1" applyNumberFormat="0" applyFill="1" applyBorder="1" applyAlignment="0">
      <alignment horizontal="general" vertical="bottom" textRotation="0" wrapText="false" shrinkToFit="false"/>
    </xf>
    <xf xfId="0" fontId="1" numFmtId="0" fillId="4" borderId="28" applyFont="1" applyNumberFormat="0" applyFill="1" applyBorder="1" applyAlignment="0">
      <alignment horizontal="general" vertical="bottom" textRotation="0" wrapText="false" shrinkToFit="false"/>
    </xf>
    <xf xfId="0" fontId="1" numFmtId="0" fillId="4" borderId="32" applyFont="1" applyNumberFormat="0" applyFill="1" applyBorder="1" applyAlignment="0">
      <alignment horizontal="general" vertical="bottom" textRotation="0" wrapText="false" shrinkToFit="false"/>
    </xf>
    <xf xfId="0" fontId="1" numFmtId="0" fillId="4" borderId="33" applyFont="1" applyNumberFormat="0" applyFill="1" applyBorder="1" applyAlignment="0">
      <alignment horizontal="general" vertical="bottom" textRotation="0" wrapText="false" shrinkToFit="false"/>
    </xf>
    <xf xfId="0" fontId="1" numFmtId="0" fillId="4" borderId="34" applyFont="1" applyNumberFormat="0" applyFill="1" applyBorder="1" applyAlignment="0">
      <alignment horizontal="general" vertical="bottom" textRotation="0" wrapText="false" shrinkToFit="false"/>
    </xf>
    <xf xfId="0" fontId="1" numFmtId="0" fillId="4" borderId="4" applyFont="1" applyNumberFormat="0" applyFill="1" applyBorder="1" applyAlignment="0">
      <alignment horizontal="general" vertical="bottom" textRotation="0" wrapText="false" shrinkToFit="false"/>
    </xf>
    <xf xfId="0" fontId="1" numFmtId="0" fillId="4" borderId="2" applyFont="1" applyNumberFormat="0" applyFill="1" applyBorder="1" applyAlignment="0">
      <alignment horizontal="general" vertical="bottom" textRotation="0" wrapText="false" shrinkToFit="false"/>
    </xf>
    <xf xfId="0" fontId="1" numFmtId="0" fillId="4" borderId="7" applyFont="1" applyNumberFormat="0" applyFill="1" applyBorder="1" applyAlignment="0">
      <alignment horizontal="general" vertical="bottom" textRotation="0" wrapText="false" shrinkToFit="false"/>
    </xf>
    <xf xfId="0" fontId="1" numFmtId="0" fillId="4" borderId="8" applyFont="1" applyNumberFormat="0" applyFill="1" applyBorder="1" applyAlignment="0">
      <alignment horizontal="general" vertical="bottom" textRotation="0" wrapText="false" shrinkToFit="false"/>
    </xf>
    <xf xfId="0" fontId="1" numFmtId="0" fillId="4" borderId="38" applyFont="1" applyNumberFormat="0" applyFill="1" applyBorder="1" applyAlignment="0">
      <alignment horizontal="general" vertical="bottom" textRotation="0" wrapText="false" shrinkToFit="false"/>
    </xf>
    <xf xfId="0" fontId="1" numFmtId="0" fillId="4" borderId="39" applyFont="1" applyNumberFormat="0" applyFill="1" applyBorder="1" applyAlignment="0">
      <alignment horizontal="general" vertical="bottom" textRotation="0" wrapText="false" shrinkToFit="false"/>
    </xf>
    <xf xfId="0" fontId="3" numFmtId="0" fillId="2" borderId="13" applyFont="1" applyNumberFormat="0" applyFill="0" applyBorder="1" applyAlignment="1">
      <alignment horizontal="center" vertical="center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21" fillId="2" borderId="0" applyFont="0" applyNumberFormat="1" applyFill="0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3" numFmtId="0" fillId="2" borderId="10" applyFont="1" applyNumberFormat="0" applyFill="0" applyBorder="1" applyAlignment="0">
      <alignment horizontal="general" vertical="bottom" textRotation="0" wrapText="false" shrinkToFit="false"/>
    </xf>
    <xf xfId="0" fontId="4" numFmtId="0" fillId="2" borderId="13" applyFont="1" applyNumberFormat="0" applyFill="0" applyBorder="1" applyAlignment="0">
      <alignment horizontal="general" vertical="bottom" textRotation="0" wrapText="false" shrinkToFit="false"/>
    </xf>
    <xf xfId="0" fontId="5" numFmtId="165" fillId="2" borderId="13" applyFont="1" applyNumberFormat="1" applyFill="0" applyBorder="1" applyAlignment="1">
      <alignment horizontal="center" vertical="bottom" textRotation="0" wrapText="false" shrinkToFit="false"/>
    </xf>
    <xf xfId="0" fontId="1" numFmtId="166" fillId="2" borderId="0" applyFont="1" applyNumberFormat="1" applyFill="0" applyBorder="0" applyAlignment="0">
      <alignment horizontal="general" vertical="bottom" textRotation="0" wrapText="false" shrinkToFit="false"/>
    </xf>
    <xf xfId="0" fontId="0" numFmtId="167" fillId="2" borderId="0" applyFont="0" applyNumberFormat="1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2">
    <dxf>
      <font>
        <sz val="10"/>
        <color rgb="FFC00000"/>
        <name val="Calibri"/>
      </font>
      <numFmt numFmtId="164" formatCode="General"/>
      <alignment/>
      <border/>
    </dxf>
    <dxf>
      <font>
        <sz val="10"/>
        <color rgb="FFC00000"/>
        <name val="Calibri"/>
      </font>
      <numFmt numFmtId="164" formatCode="General"/>
      <alignment/>
      <border/>
    </dxf>
  </dxfs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microsoft.com/office/2006/relationships/vbaProject" Target="vbaProject.bin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2.png"/></Relationships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85725</xdr:colOff>
      <xdr:row>3</xdr:row>
      <xdr:rowOff>85725</xdr:rowOff>
    </xdr:from>
    <xdr:ext cx="933450" cy="466725"/>
    <xdr:pic>
      <xdr:nvPicPr>
        <xdr:cNvPr id="1" name="Picture 2" descr="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0"/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85725</xdr:colOff>
      <xdr:row>1</xdr:row>
      <xdr:rowOff>85725</xdr:rowOff>
    </xdr:from>
    <xdr:ext cx="933450" cy="466725"/>
    <xdr:pic>
      <xdr:nvPicPr>
        <xdr:cNvPr id="1" name="Picture 1" descr="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0"/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:space="preserve">
  <sheetPr codeName="Sheet5">
    <outlinePr summaryBelow="1" summaryRight="1"/>
  </sheetPr>
  <dimension ref="A1:Y2"/>
  <sheetViews>
    <sheetView tabSelected="1" workbookViewId="0" showGridLines="true" showRowColHeaders="1">
      <selection activeCell="U2" sqref="U2"/>
    </sheetView>
  </sheetViews>
  <sheetFormatPr defaultRowHeight="14.4" outlineLevelRow="0" outlineLevelCol="0"/>
  <cols>
    <col min="1" max="1" width="7.140625" customWidth="true" style="73"/>
    <col min="2" max="2" width="9.28515625" customWidth="true" style="73"/>
    <col min="3" max="3" width="18.42578125" customWidth="true" style="73"/>
    <col min="4" max="4" width="14.140625" customWidth="true" style="73"/>
    <col min="5" max="5" width="11.5703125" customWidth="true" style="73"/>
    <col min="6" max="6" width="18" customWidth="true" style="73"/>
    <col min="7" max="7" width="7.85546875" customWidth="true" style="73"/>
    <col min="8" max="8" width="11.85546875" customWidth="true" style="73"/>
    <col min="9" max="9" width="15" customWidth="true" style="73"/>
    <col min="10" max="10" width="12" customWidth="true" style="73"/>
    <col min="11" max="11" width="11.42578125" customWidth="true" style="73"/>
    <col min="12" max="12" width="16.7109375" customWidth="true" style="73"/>
    <col min="13" max="13" width="9.5703125" customWidth="true" style="73"/>
    <col min="14" max="14" width="14.5703125" customWidth="true" style="73"/>
    <col min="15" max="15" width="14.85546875" customWidth="true" style="73"/>
    <col min="16" max="16" width="10.42578125" customWidth="true" style="73"/>
    <col min="17" max="17" width="10.42578125" customWidth="true" style="73"/>
    <col min="18" max="18" width="10.140625" customWidth="true" style="73"/>
    <col min="19" max="19" width="16.85546875" customWidth="true" style="73"/>
    <col min="20" max="20" width="15" customWidth="true" style="73"/>
    <col min="21" max="21" width="16" customWidth="true" style="73"/>
    <col min="22" max="22" width="18" customWidth="true" style="73"/>
    <col min="23" max="23" width="12.7109375" customWidth="true" style="73"/>
    <col min="24" max="24" width="9.140625" customWidth="true" style="73"/>
    <col min="25" max="25" width="9.140625" customWidth="true" style="73"/>
  </cols>
  <sheetData>
    <row r="1" spans="1:25">
      <c r="A1" s="74" t="s">
        <v>0</v>
      </c>
      <c r="B1" s="74" t="s">
        <v>1</v>
      </c>
      <c r="C1" s="74" t="s">
        <v>2</v>
      </c>
      <c r="D1" s="74" t="s">
        <v>3</v>
      </c>
      <c r="E1" s="74" t="s">
        <v>4</v>
      </c>
      <c r="F1" s="74" t="s">
        <v>5</v>
      </c>
      <c r="G1" s="74" t="s">
        <v>6</v>
      </c>
      <c r="H1" s="74" t="s">
        <v>7</v>
      </c>
      <c r="I1" s="74" t="s">
        <v>8</v>
      </c>
      <c r="J1" s="74" t="s">
        <v>9</v>
      </c>
      <c r="K1" s="74" t="s">
        <v>10</v>
      </c>
      <c r="L1" s="74" t="s">
        <v>11</v>
      </c>
      <c r="M1" s="74" t="s">
        <v>12</v>
      </c>
      <c r="N1" s="74" t="s">
        <v>13</v>
      </c>
      <c r="O1" s="74" t="s">
        <v>14</v>
      </c>
      <c r="P1" s="74" t="s">
        <v>15</v>
      </c>
      <c r="Q1" s="74" t="s">
        <v>16</v>
      </c>
      <c r="R1" s="74" t="s">
        <v>17</v>
      </c>
      <c r="S1" s="74" t="s">
        <v>18</v>
      </c>
      <c r="T1" s="74" t="s">
        <v>19</v>
      </c>
      <c r="U1" s="74" t="s">
        <v>20</v>
      </c>
      <c r="V1" s="74" t="s">
        <v>21</v>
      </c>
    </row>
    <row r="2" spans="1:25">
      <c r="A2" s="76">
        <v>24212</v>
      </c>
      <c r="B2" s="76">
        <v>735</v>
      </c>
      <c r="C2" s="76" t="s">
        <v>22</v>
      </c>
      <c r="D2" s="76" t="s">
        <v>23</v>
      </c>
      <c r="E2" s="76">
        <v>1</v>
      </c>
      <c r="F2" s="76">
        <v>1</v>
      </c>
      <c r="G2" s="76" t="s">
        <v>24</v>
      </c>
      <c r="H2" s="76" t="s">
        <v>25</v>
      </c>
      <c r="I2" s="76"/>
      <c r="J2" s="76" t="s">
        <v>24</v>
      </c>
      <c r="K2" s="76">
        <v>100</v>
      </c>
      <c r="L2" s="76">
        <v>511</v>
      </c>
      <c r="M2" s="76" t="s">
        <v>26</v>
      </c>
      <c r="N2" s="82">
        <v>43787</v>
      </c>
      <c r="O2" s="82">
        <v>43787</v>
      </c>
      <c r="P2" s="75">
        <v>25569.20833333333</v>
      </c>
      <c r="Q2" s="75">
        <v>25569.875</v>
      </c>
      <c r="R2" s="76" t="s">
        <v>27</v>
      </c>
      <c r="S2" s="76">
        <v>1</v>
      </c>
      <c r="T2" s="82">
        <v>43746.20833333334</v>
      </c>
      <c r="U2" s="82">
        <v>43787.87498842592</v>
      </c>
      <c r="V2" s="76" t="s">
        <v>28</v>
      </c>
      <c r="W2" s="77"/>
      <c r="X2" s="77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:space="preserve">
  <sheetPr codeName="Sheet2">
    <outlinePr summaryBelow="1" summaryRight="1"/>
  </sheetPr>
  <dimension ref="A1:AM63"/>
  <sheetViews>
    <sheetView tabSelected="0" workbookViewId="0" showGridLines="true" showRowColHeaders="1">
      <selection activeCell="D52" sqref="D52"/>
    </sheetView>
  </sheetViews>
  <sheetFormatPr defaultRowHeight="14.4" outlineLevelRow="0" outlineLevelCol="0"/>
  <cols>
    <col min="1" max="1" width="7.85546875" hidden="true" customWidth="true" style="1"/>
    <col min="2" max="2" width="6.5703125" hidden="true" customWidth="true" style="1"/>
    <col min="3" max="3" width="15.5703125" hidden="true" customWidth="true" style="1"/>
    <col min="4" max="4" width="15.5703125" hidden="true" customWidth="true" style="1"/>
    <col min="5" max="5" width="3.5703125" customWidth="true" style="1"/>
    <col min="6" max="6" width="5" customWidth="true" style="1"/>
    <col min="7" max="7" width="5.5703125" customWidth="true" style="1"/>
    <col min="8" max="8" width="5.5703125" customWidth="true" style="1"/>
    <col min="9" max="9" width="5.5703125" customWidth="true" style="1"/>
    <col min="10" max="10" width="5.5703125" customWidth="true" style="1"/>
    <col min="11" max="11" width="5.5703125" customWidth="true" style="1"/>
    <col min="12" max="12" width="5.5703125" customWidth="true" style="1"/>
    <col min="13" max="13" width="5.5703125" customWidth="true" style="1"/>
    <col min="14" max="14" width="5.5703125" customWidth="true" style="1"/>
    <col min="15" max="15" width="5.5703125" customWidth="true" style="1"/>
    <col min="16" max="16" width="5.5703125" customWidth="true" style="1"/>
    <col min="17" max="17" width="5.5703125" customWidth="true" style="1"/>
    <col min="18" max="18" width="5.5703125" customWidth="true" style="1"/>
    <col min="19" max="19" width="5.5703125" customWidth="true" style="1"/>
    <col min="20" max="20" width="5.5703125" customWidth="true" style="1"/>
    <col min="21" max="21" width="5.5703125" customWidth="true" style="1"/>
    <col min="22" max="22" width="5.5703125" customWidth="true" style="1"/>
    <col min="23" max="23" width="5.5703125" customWidth="true" style="1"/>
    <col min="24" max="24" width="5.5703125" customWidth="true" style="1"/>
    <col min="25" max="25" width="5.5703125" customWidth="true" style="1"/>
    <col min="30" max="30" width="5.5703125" customWidth="true" style="1"/>
    <col min="31" max="31" width="1" customWidth="true" style="1"/>
    <col min="32" max="32" width="5.5703125" customWidth="true" style="1"/>
    <col min="33" max="33" width="5.5703125" customWidth="true" style="1"/>
    <col min="34" max="34" width="1" customWidth="true" style="1"/>
    <col min="35" max="35" width="5.5703125" customWidth="true" style="1"/>
    <col min="36" max="36" width="9.140625" customWidth="true" style="1"/>
    <col min="37" max="37" width="9.42578125" customWidth="true" style="1"/>
    <col min="38" max="38" width="9.140625" customWidth="true" style="1"/>
    <col min="26" max="26" width="5.5703125" customWidth="true" style="0"/>
    <col min="27" max="27" width="5.5703125" customWidth="true" style="0"/>
    <col min="28" max="28" width="5.5703125" customWidth="true" style="0"/>
    <col min="29" max="29" width="5.5703125" customWidth="true" style="0"/>
  </cols>
  <sheetData>
    <row r="1" spans="1:39" hidden="true">
      <c r="A1" s="1" t="s">
        <v>29</v>
      </c>
      <c r="B1" s="1" t="s">
        <v>30</v>
      </c>
      <c r="C1" s="1" t="s">
        <v>31</v>
      </c>
      <c r="D1" s="1" t="s">
        <v>32</v>
      </c>
      <c r="E1" s="1"/>
      <c r="F1" s="1" t="s">
        <v>33</v>
      </c>
      <c r="G1" s="1" t="s">
        <v>34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 t="s">
        <v>35</v>
      </c>
      <c r="AE1" s="1"/>
      <c r="AF1" s="1"/>
      <c r="AG1" s="1"/>
      <c r="AH1" s="1"/>
      <c r="AI1" s="1"/>
      <c r="AJ1" s="1"/>
      <c r="AK1" s="1"/>
      <c r="AL1" s="1"/>
      <c r="AM1"/>
    </row>
    <row r="2" spans="1:39" hidden="true">
      <c r="A2" s="1" t="s">
        <v>36</v>
      </c>
      <c r="G2" s="1" t="s">
        <v>37</v>
      </c>
      <c r="H2" s="1" t="s">
        <v>38</v>
      </c>
      <c r="I2" s="1" t="s">
        <v>39</v>
      </c>
      <c r="J2" s="1" t="s">
        <v>40</v>
      </c>
      <c r="K2" s="1" t="s">
        <v>41</v>
      </c>
      <c r="L2" s="1" t="s">
        <v>42</v>
      </c>
      <c r="M2" s="1" t="s">
        <v>43</v>
      </c>
      <c r="N2" s="1" t="s">
        <v>44</v>
      </c>
      <c r="O2" s="1" t="s">
        <v>45</v>
      </c>
      <c r="P2" s="1" t="s">
        <v>46</v>
      </c>
      <c r="Q2" s="1" t="s">
        <v>47</v>
      </c>
      <c r="R2" s="1" t="s">
        <v>48</v>
      </c>
      <c r="S2" s="1" t="s">
        <v>49</v>
      </c>
      <c r="T2" s="1" t="s">
        <v>50</v>
      </c>
      <c r="U2" s="1" t="s">
        <v>51</v>
      </c>
      <c r="V2" s="1" t="s">
        <v>52</v>
      </c>
      <c r="W2" s="1" t="s">
        <v>53</v>
      </c>
      <c r="X2" s="1" t="s">
        <v>54</v>
      </c>
      <c r="Y2" s="1" t="s">
        <v>55</v>
      </c>
      <c r="Z2" t="s">
        <v>56</v>
      </c>
      <c r="AA2" t="s">
        <v>57</v>
      </c>
      <c r="AB2" t="s">
        <v>58</v>
      </c>
      <c r="AC2" t="s">
        <v>59</v>
      </c>
    </row>
    <row r="3" spans="1:39" customHeight="1" ht="8.25">
      <c r="A3" s="1"/>
    </row>
    <row r="4" spans="1:39" customHeight="1" ht="18.75">
      <c r="A4" s="1"/>
      <c r="F4" s="12"/>
      <c r="G4" s="78" t="str">
        <f>IF(REPDEF!E2=1,"Availability Reporting",IF(REPDEF!E2=2,"Operationality Reporting","AMS Mode Reporting"))</f>
        <v>0</v>
      </c>
      <c r="H4" s="13"/>
      <c r="I4" s="13"/>
      <c r="J4" s="13"/>
      <c r="K4" s="14"/>
      <c r="L4" s="13"/>
      <c r="M4" s="14" t="str">
        <f>REPDEF!C2</f>
        <v>0</v>
      </c>
      <c r="N4" s="13"/>
      <c r="O4" s="13"/>
      <c r="P4" s="13"/>
      <c r="Q4" s="13"/>
      <c r="R4" s="13"/>
      <c r="S4" s="13"/>
      <c r="T4" s="13"/>
      <c r="U4" s="13"/>
      <c r="V4" s="7"/>
      <c r="W4" s="3"/>
      <c r="X4" s="4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5"/>
      <c r="AJ4" s="15"/>
    </row>
    <row r="5" spans="1:39" customHeight="1" ht="15.75">
      <c r="A5" s="1"/>
      <c r="F5" s="16"/>
      <c r="G5" s="17" t="s">
        <v>60</v>
      </c>
      <c r="H5" s="17"/>
      <c r="I5" s="1" t="str">
        <f>IF(REPDEF!S2=1,"YES","NO")</f>
        <v>0</v>
      </c>
      <c r="J5" s="79"/>
      <c r="M5" s="80" t="str">
        <f>REPDEF!T2</f>
        <v>0</v>
      </c>
      <c r="N5" s="80"/>
      <c r="O5" s="72" t="s">
        <v>61</v>
      </c>
      <c r="P5" s="80" t="str">
        <f>REPDEF!U2</f>
        <v>0</v>
      </c>
      <c r="Q5" s="80"/>
      <c r="R5" s="17"/>
      <c r="S5" s="17"/>
      <c r="T5" s="17"/>
      <c r="U5" s="17"/>
      <c r="V5" s="8"/>
      <c r="W5" s="2"/>
      <c r="X5" s="9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8"/>
      <c r="AJ5" s="18"/>
    </row>
    <row r="6" spans="1:39" customHeight="1" ht="15.75">
      <c r="A6" s="1"/>
      <c r="F6" s="19"/>
      <c r="G6" s="20" t="s">
        <v>62</v>
      </c>
      <c r="H6" s="20"/>
      <c r="I6" s="20" t="str">
        <f>REPDEF!G2</f>
        <v>0</v>
      </c>
      <c r="J6" s="20"/>
      <c r="K6" s="20"/>
      <c r="L6" s="20"/>
      <c r="M6" s="20"/>
      <c r="N6" s="21" t="str">
        <f>REPDEF!P2</f>
        <v>0</v>
      </c>
      <c r="O6" s="59" t="s">
        <v>61</v>
      </c>
      <c r="P6" s="21" t="str">
        <f>REPDEF!Q2</f>
        <v>0</v>
      </c>
      <c r="Q6" s="20"/>
      <c r="R6" s="20"/>
      <c r="S6" s="20"/>
      <c r="T6" s="20"/>
      <c r="U6" s="20"/>
      <c r="V6" s="10"/>
      <c r="W6" s="5"/>
      <c r="X6" s="11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2"/>
      <c r="AJ6" s="22"/>
    </row>
    <row r="7" spans="1:39" customHeight="1" ht="5.25">
      <c r="A7" s="1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9" customHeight="1" ht="122.1">
      <c r="A8" s="1" t="s">
        <v>63</v>
      </c>
      <c r="F8" s="31" t="s">
        <v>64</v>
      </c>
      <c r="G8" s="30" t="s">
        <v>65</v>
      </c>
      <c r="H8" s="23" t="s">
        <v>66</v>
      </c>
      <c r="I8" s="23" t="s">
        <v>67</v>
      </c>
      <c r="J8" s="23" t="s">
        <v>68</v>
      </c>
      <c r="K8" s="23" t="s">
        <v>69</v>
      </c>
      <c r="L8" s="23" t="s">
        <v>70</v>
      </c>
      <c r="M8" s="23" t="s">
        <v>71</v>
      </c>
      <c r="N8" s="23" t="s">
        <v>72</v>
      </c>
      <c r="O8" s="23" t="s">
        <v>73</v>
      </c>
      <c r="P8" s="23" t="s">
        <v>74</v>
      </c>
      <c r="Q8" s="23" t="s">
        <v>75</v>
      </c>
      <c r="R8" s="23" t="s">
        <v>76</v>
      </c>
      <c r="S8" s="23" t="s">
        <v>77</v>
      </c>
      <c r="T8" s="23" t="s">
        <v>78</v>
      </c>
      <c r="U8" s="23" t="s">
        <v>79</v>
      </c>
      <c r="V8" s="23" t="s">
        <v>80</v>
      </c>
      <c r="W8" s="23" t="s">
        <v>81</v>
      </c>
      <c r="X8" s="23" t="s">
        <v>82</v>
      </c>
      <c r="Y8" s="23" t="s">
        <v>83</v>
      </c>
      <c r="Z8" s="23" t="s">
        <v>84</v>
      </c>
      <c r="AA8" s="23" t="s">
        <v>85</v>
      </c>
      <c r="AB8" s="23" t="s">
        <v>86</v>
      </c>
      <c r="AC8" s="23" t="s">
        <v>87</v>
      </c>
      <c r="AD8" s="24"/>
      <c r="AE8" s="34"/>
      <c r="AF8" s="25"/>
      <c r="AG8" s="24"/>
      <c r="AH8" s="34"/>
      <c r="AI8" s="26"/>
      <c r="AJ8" s="26"/>
    </row>
    <row r="9" spans="1:39">
      <c r="A9" s="1" t="s">
        <v>88</v>
      </c>
      <c r="F9" s="27" t="s">
        <v>88</v>
      </c>
      <c r="G9" s="60">
        <v>1</v>
      </c>
      <c r="H9" s="61">
        <v>1</v>
      </c>
      <c r="I9" s="61">
        <v>1</v>
      </c>
      <c r="J9" s="61">
        <v>1</v>
      </c>
      <c r="K9" s="61">
        <v>1</v>
      </c>
      <c r="L9" s="61">
        <v>1</v>
      </c>
      <c r="M9" s="61">
        <v>1</v>
      </c>
      <c r="N9" s="61">
        <v>1</v>
      </c>
      <c r="O9" s="61">
        <v>1</v>
      </c>
      <c r="P9" s="61">
        <v>1</v>
      </c>
      <c r="Q9" s="61">
        <v>1</v>
      </c>
      <c r="R9" s="61">
        <v>1</v>
      </c>
      <c r="S9" s="61">
        <v>1</v>
      </c>
      <c r="T9" s="61">
        <v>1</v>
      </c>
      <c r="U9" s="61">
        <v>1</v>
      </c>
      <c r="V9" s="61">
        <v>1</v>
      </c>
      <c r="W9" s="61">
        <v>1</v>
      </c>
      <c r="X9" s="61">
        <v>1</v>
      </c>
      <c r="Y9" s="61">
        <v>1</v>
      </c>
      <c r="Z9" s="61">
        <v>1</v>
      </c>
      <c r="AA9" s="61">
        <v>1</v>
      </c>
      <c r="AB9" s="61">
        <v>1</v>
      </c>
      <c r="AC9" s="61">
        <v>1</v>
      </c>
      <c r="AD9" s="62"/>
      <c r="AE9" s="6"/>
      <c r="AF9" s="66"/>
      <c r="AG9" s="67"/>
      <c r="AH9" s="6"/>
      <c r="AI9" s="70"/>
      <c r="AJ9" s="70"/>
    </row>
    <row r="10" spans="1:39" customHeight="1" ht="15.75">
      <c r="A10" s="1" t="s">
        <v>89</v>
      </c>
      <c r="F10" s="32" t="s">
        <v>90</v>
      </c>
      <c r="G10" s="63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5"/>
      <c r="AE10" s="6"/>
      <c r="AF10" s="68"/>
      <c r="AG10" s="69"/>
      <c r="AH10" s="6"/>
      <c r="AI10" s="71"/>
      <c r="AJ10" s="71"/>
    </row>
    <row r="11" spans="1:39">
      <c r="A11" s="1" t="s">
        <v>91</v>
      </c>
      <c r="B11" s="1">
        <v>0</v>
      </c>
      <c r="C11" s="81">
        <v>43746.20833333334</v>
      </c>
      <c r="D11" s="81">
        <v>43746.87498842592</v>
      </c>
      <c r="F11" s="33">
        <v>281</v>
      </c>
      <c r="G11" s="35">
        <v>100</v>
      </c>
      <c r="H11" s="36">
        <v>100</v>
      </c>
      <c r="I11" s="36">
        <v>100</v>
      </c>
      <c r="J11" s="36">
        <v>100</v>
      </c>
      <c r="K11" s="36">
        <v>100</v>
      </c>
      <c r="L11" s="36">
        <v>100</v>
      </c>
      <c r="M11" s="36">
        <v>100</v>
      </c>
      <c r="N11" s="36">
        <v>100</v>
      </c>
      <c r="O11" s="36">
        <v>100</v>
      </c>
      <c r="P11" s="36">
        <v>100</v>
      </c>
      <c r="Q11" s="36">
        <v>100</v>
      </c>
      <c r="R11" s="36">
        <v>100</v>
      </c>
      <c r="S11" s="47">
        <v>100</v>
      </c>
      <c r="T11" s="47">
        <v>100</v>
      </c>
      <c r="U11" s="36">
        <v>100</v>
      </c>
      <c r="V11" s="36">
        <v>100</v>
      </c>
      <c r="W11" s="36">
        <v>100</v>
      </c>
      <c r="X11" s="36">
        <v>100</v>
      </c>
      <c r="Y11" s="36">
        <v>100</v>
      </c>
      <c r="Z11" s="36">
        <v>100</v>
      </c>
      <c r="AA11" s="36">
        <v>100</v>
      </c>
      <c r="AB11" s="36">
        <v>100</v>
      </c>
      <c r="AC11" s="36">
        <v>100</v>
      </c>
      <c r="AD11" s="50"/>
      <c r="AE11" s="6"/>
      <c r="AF11" s="35"/>
      <c r="AG11" s="37"/>
      <c r="AH11" s="6"/>
      <c r="AI11" s="44"/>
      <c r="AJ11" s="44"/>
    </row>
    <row r="12" spans="1:39">
      <c r="A12" s="1"/>
      <c r="B12" s="1">
        <v>1</v>
      </c>
      <c r="C12" s="81">
        <v>43747</v>
      </c>
      <c r="D12" s="81">
        <v>43747.87498842592</v>
      </c>
      <c r="F12" s="28">
        <v>282</v>
      </c>
      <c r="G12" s="38">
        <v>100</v>
      </c>
      <c r="H12" s="39">
        <v>100</v>
      </c>
      <c r="I12" s="39">
        <v>100</v>
      </c>
      <c r="J12" s="39">
        <v>100</v>
      </c>
      <c r="K12" s="39">
        <v>100</v>
      </c>
      <c r="L12" s="39">
        <v>100</v>
      </c>
      <c r="M12" s="39">
        <v>100</v>
      </c>
      <c r="N12" s="39">
        <v>100</v>
      </c>
      <c r="O12" s="39">
        <v>100</v>
      </c>
      <c r="P12" s="39">
        <v>100</v>
      </c>
      <c r="Q12" s="39">
        <v>100</v>
      </c>
      <c r="R12" s="39">
        <v>100</v>
      </c>
      <c r="S12" s="48">
        <v>100</v>
      </c>
      <c r="T12" s="48">
        <v>100</v>
      </c>
      <c r="U12" s="39">
        <v>100</v>
      </c>
      <c r="V12" s="39">
        <v>100</v>
      </c>
      <c r="W12" s="39">
        <v>100</v>
      </c>
      <c r="X12" s="39">
        <v>100</v>
      </c>
      <c r="Y12" s="39">
        <v>100</v>
      </c>
      <c r="Z12" s="39">
        <v>100</v>
      </c>
      <c r="AA12" s="39">
        <v>100</v>
      </c>
      <c r="AB12" s="39">
        <v>100</v>
      </c>
      <c r="AC12" s="39">
        <v>100</v>
      </c>
      <c r="AD12" s="51"/>
      <c r="AE12" s="6"/>
      <c r="AF12" s="38"/>
      <c r="AG12" s="40"/>
      <c r="AH12" s="6"/>
      <c r="AI12" s="45"/>
      <c r="AJ12" s="45"/>
    </row>
    <row r="13" spans="1:39">
      <c r="A13" s="1"/>
      <c r="B13" s="1">
        <v>2</v>
      </c>
      <c r="C13" s="81">
        <v>43748</v>
      </c>
      <c r="D13" s="81">
        <v>43748.87498842592</v>
      </c>
      <c r="F13" s="28">
        <v>283</v>
      </c>
      <c r="G13" s="38">
        <v>100</v>
      </c>
      <c r="H13" s="39">
        <v>100</v>
      </c>
      <c r="I13" s="39">
        <v>100</v>
      </c>
      <c r="J13" s="39">
        <v>100</v>
      </c>
      <c r="K13" s="39">
        <v>100</v>
      </c>
      <c r="L13" s="39">
        <v>100</v>
      </c>
      <c r="M13" s="39">
        <v>100</v>
      </c>
      <c r="N13" s="39">
        <v>100</v>
      </c>
      <c r="O13" s="39">
        <v>100</v>
      </c>
      <c r="P13" s="39">
        <v>100</v>
      </c>
      <c r="Q13" s="39">
        <v>100</v>
      </c>
      <c r="R13" s="39">
        <v>100</v>
      </c>
      <c r="S13" s="48">
        <v>100</v>
      </c>
      <c r="T13" s="48">
        <v>100</v>
      </c>
      <c r="U13" s="39">
        <v>100</v>
      </c>
      <c r="V13" s="39">
        <v>100</v>
      </c>
      <c r="W13" s="39">
        <v>100</v>
      </c>
      <c r="X13" s="39">
        <v>100</v>
      </c>
      <c r="Y13" s="39">
        <v>100</v>
      </c>
      <c r="Z13" s="39">
        <v>100</v>
      </c>
      <c r="AA13" s="39">
        <v>100</v>
      </c>
      <c r="AB13" s="39">
        <v>100</v>
      </c>
      <c r="AC13" s="39">
        <v>100</v>
      </c>
      <c r="AD13" s="51"/>
      <c r="AE13" s="6"/>
      <c r="AF13" s="38"/>
      <c r="AG13" s="40"/>
      <c r="AH13" s="6"/>
      <c r="AI13" s="45"/>
      <c r="AJ13" s="45"/>
    </row>
    <row r="14" spans="1:39">
      <c r="A14" s="1"/>
      <c r="B14" s="1">
        <v>3</v>
      </c>
      <c r="C14" s="81">
        <v>43749</v>
      </c>
      <c r="D14" s="81">
        <v>43749.87498842592</v>
      </c>
      <c r="F14" s="28">
        <v>284</v>
      </c>
      <c r="G14" s="38">
        <v>100</v>
      </c>
      <c r="H14" s="39">
        <v>100</v>
      </c>
      <c r="I14" s="39">
        <v>100</v>
      </c>
      <c r="J14" s="39">
        <v>100</v>
      </c>
      <c r="K14" s="39">
        <v>100</v>
      </c>
      <c r="L14" s="39">
        <v>100</v>
      </c>
      <c r="M14" s="39">
        <v>100</v>
      </c>
      <c r="N14" s="39">
        <v>100</v>
      </c>
      <c r="O14" s="39">
        <v>100</v>
      </c>
      <c r="P14" s="39">
        <v>100</v>
      </c>
      <c r="Q14" s="39">
        <v>100</v>
      </c>
      <c r="R14" s="39">
        <v>100</v>
      </c>
      <c r="S14" s="48">
        <v>100</v>
      </c>
      <c r="T14" s="48">
        <v>100</v>
      </c>
      <c r="U14" s="39">
        <v>100</v>
      </c>
      <c r="V14" s="39">
        <v>100</v>
      </c>
      <c r="W14" s="39">
        <v>100</v>
      </c>
      <c r="X14" s="39">
        <v>100</v>
      </c>
      <c r="Y14" s="39">
        <v>100</v>
      </c>
      <c r="Z14" s="39">
        <v>100</v>
      </c>
      <c r="AA14" s="39">
        <v>100</v>
      </c>
      <c r="AB14" s="39">
        <v>100</v>
      </c>
      <c r="AC14" s="39">
        <v>100</v>
      </c>
      <c r="AD14" s="51"/>
      <c r="AE14" s="6"/>
      <c r="AF14" s="38"/>
      <c r="AG14" s="40"/>
      <c r="AH14" s="6"/>
      <c r="AI14" s="45"/>
      <c r="AJ14" s="45"/>
    </row>
    <row r="15" spans="1:39">
      <c r="A15" s="1"/>
      <c r="B15" s="1">
        <v>4</v>
      </c>
      <c r="C15" s="81">
        <v>43750</v>
      </c>
      <c r="D15" s="81">
        <v>43750.87498842592</v>
      </c>
      <c r="F15" s="28">
        <v>285</v>
      </c>
      <c r="G15" s="38">
        <v>100</v>
      </c>
      <c r="H15" s="39">
        <v>100</v>
      </c>
      <c r="I15" s="39">
        <v>100</v>
      </c>
      <c r="J15" s="39">
        <v>100</v>
      </c>
      <c r="K15" s="39">
        <v>100</v>
      </c>
      <c r="L15" s="39">
        <v>100</v>
      </c>
      <c r="M15" s="39">
        <v>100</v>
      </c>
      <c r="N15" s="39">
        <v>100</v>
      </c>
      <c r="O15" s="39">
        <v>100</v>
      </c>
      <c r="P15" s="39">
        <v>100</v>
      </c>
      <c r="Q15" s="39">
        <v>100</v>
      </c>
      <c r="R15" s="39">
        <v>100</v>
      </c>
      <c r="S15" s="48">
        <v>100</v>
      </c>
      <c r="T15" s="48">
        <v>100</v>
      </c>
      <c r="U15" s="39">
        <v>100</v>
      </c>
      <c r="V15" s="39">
        <v>100</v>
      </c>
      <c r="W15" s="39">
        <v>100</v>
      </c>
      <c r="X15" s="39">
        <v>100</v>
      </c>
      <c r="Y15" s="39">
        <v>100</v>
      </c>
      <c r="Z15" s="39">
        <v>100</v>
      </c>
      <c r="AA15" s="39">
        <v>100</v>
      </c>
      <c r="AB15" s="39">
        <v>100</v>
      </c>
      <c r="AC15" s="39">
        <v>100</v>
      </c>
      <c r="AD15" s="51"/>
      <c r="AE15" s="6"/>
      <c r="AF15" s="38"/>
      <c r="AG15" s="40"/>
      <c r="AH15" s="6"/>
      <c r="AI15" s="45"/>
      <c r="AJ15" s="45"/>
    </row>
    <row r="16" spans="1:39">
      <c r="A16" s="1"/>
      <c r="B16" s="1">
        <v>5</v>
      </c>
      <c r="C16" s="81">
        <v>43751</v>
      </c>
      <c r="D16" s="81">
        <v>43751.87498842592</v>
      </c>
      <c r="F16" s="28">
        <v>286</v>
      </c>
      <c r="G16" s="38">
        <v>100</v>
      </c>
      <c r="H16" s="39">
        <v>100</v>
      </c>
      <c r="I16" s="39">
        <v>100</v>
      </c>
      <c r="J16" s="39">
        <v>100</v>
      </c>
      <c r="K16" s="39">
        <v>100</v>
      </c>
      <c r="L16" s="39">
        <v>100</v>
      </c>
      <c r="M16" s="39">
        <v>100</v>
      </c>
      <c r="N16" s="39">
        <v>100</v>
      </c>
      <c r="O16" s="39">
        <v>100</v>
      </c>
      <c r="P16" s="39">
        <v>100</v>
      </c>
      <c r="Q16" s="39">
        <v>100</v>
      </c>
      <c r="R16" s="39">
        <v>100</v>
      </c>
      <c r="S16" s="48">
        <v>100</v>
      </c>
      <c r="T16" s="48">
        <v>100</v>
      </c>
      <c r="U16" s="39">
        <v>100</v>
      </c>
      <c r="V16" s="39">
        <v>100</v>
      </c>
      <c r="W16" s="39">
        <v>100</v>
      </c>
      <c r="X16" s="39">
        <v>100</v>
      </c>
      <c r="Y16" s="39">
        <v>100</v>
      </c>
      <c r="Z16" s="39">
        <v>100</v>
      </c>
      <c r="AA16" s="39">
        <v>100</v>
      </c>
      <c r="AB16" s="39">
        <v>100</v>
      </c>
      <c r="AC16" s="39">
        <v>100</v>
      </c>
      <c r="AD16" s="51"/>
      <c r="AE16" s="6"/>
      <c r="AF16" s="38"/>
      <c r="AG16" s="40"/>
      <c r="AH16" s="6"/>
      <c r="AI16" s="45"/>
      <c r="AJ16" s="45"/>
    </row>
    <row r="17" spans="1:39">
      <c r="A17" s="1"/>
      <c r="B17" s="1">
        <v>6</v>
      </c>
      <c r="C17" s="81">
        <v>43752</v>
      </c>
      <c r="D17" s="81">
        <v>43752.87498842592</v>
      </c>
      <c r="F17" s="28">
        <v>287</v>
      </c>
      <c r="G17" s="38">
        <v>100</v>
      </c>
      <c r="H17" s="39">
        <v>100</v>
      </c>
      <c r="I17" s="39">
        <v>100</v>
      </c>
      <c r="J17" s="39">
        <v>100</v>
      </c>
      <c r="K17" s="39">
        <v>100</v>
      </c>
      <c r="L17" s="39">
        <v>100</v>
      </c>
      <c r="M17" s="39">
        <v>100</v>
      </c>
      <c r="N17" s="39">
        <v>100</v>
      </c>
      <c r="O17" s="39">
        <v>100</v>
      </c>
      <c r="P17" s="39">
        <v>100</v>
      </c>
      <c r="Q17" s="39">
        <v>100</v>
      </c>
      <c r="R17" s="39">
        <v>100</v>
      </c>
      <c r="S17" s="48">
        <v>100</v>
      </c>
      <c r="T17" s="48">
        <v>100</v>
      </c>
      <c r="U17" s="39">
        <v>100</v>
      </c>
      <c r="V17" s="39">
        <v>100</v>
      </c>
      <c r="W17" s="39">
        <v>100</v>
      </c>
      <c r="X17" s="39">
        <v>100</v>
      </c>
      <c r="Y17" s="39">
        <v>100</v>
      </c>
      <c r="Z17" s="39">
        <v>100</v>
      </c>
      <c r="AA17" s="39">
        <v>100</v>
      </c>
      <c r="AB17" s="39">
        <v>100</v>
      </c>
      <c r="AC17" s="39">
        <v>100</v>
      </c>
      <c r="AD17" s="51"/>
      <c r="AE17" s="6"/>
      <c r="AF17" s="38"/>
      <c r="AG17" s="40"/>
      <c r="AH17" s="6"/>
      <c r="AI17" s="45"/>
      <c r="AJ17" s="45"/>
    </row>
    <row r="18" spans="1:39">
      <c r="A18" s="1"/>
      <c r="B18" s="1">
        <v>7</v>
      </c>
      <c r="C18" s="81">
        <v>43753</v>
      </c>
      <c r="D18" s="81">
        <v>43753.87498842592</v>
      </c>
      <c r="F18" s="28">
        <v>288</v>
      </c>
      <c r="G18" s="38">
        <v>100</v>
      </c>
      <c r="H18" s="39">
        <v>100</v>
      </c>
      <c r="I18" s="39">
        <v>100</v>
      </c>
      <c r="J18" s="39">
        <v>100</v>
      </c>
      <c r="K18" s="39">
        <v>100</v>
      </c>
      <c r="L18" s="39">
        <v>100</v>
      </c>
      <c r="M18" s="39">
        <v>100</v>
      </c>
      <c r="N18" s="39">
        <v>100</v>
      </c>
      <c r="O18" s="39">
        <v>100</v>
      </c>
      <c r="P18" s="39">
        <v>100</v>
      </c>
      <c r="Q18" s="39">
        <v>100</v>
      </c>
      <c r="R18" s="39">
        <v>100</v>
      </c>
      <c r="S18" s="48">
        <v>100</v>
      </c>
      <c r="T18" s="48">
        <v>100</v>
      </c>
      <c r="U18" s="39">
        <v>100</v>
      </c>
      <c r="V18" s="39">
        <v>100</v>
      </c>
      <c r="W18" s="39">
        <v>100</v>
      </c>
      <c r="X18" s="39">
        <v>100</v>
      </c>
      <c r="Y18" s="39">
        <v>100</v>
      </c>
      <c r="Z18" s="39">
        <v>100</v>
      </c>
      <c r="AA18" s="39">
        <v>100</v>
      </c>
      <c r="AB18" s="39">
        <v>100</v>
      </c>
      <c r="AC18" s="39">
        <v>100</v>
      </c>
      <c r="AD18" s="51"/>
      <c r="AE18" s="6"/>
      <c r="AF18" s="38"/>
      <c r="AG18" s="40"/>
      <c r="AH18" s="6"/>
      <c r="AI18" s="45"/>
      <c r="AJ18" s="45"/>
    </row>
    <row r="19" spans="1:39">
      <c r="A19" s="1"/>
      <c r="B19" s="1">
        <v>8</v>
      </c>
      <c r="C19" s="81">
        <v>43754</v>
      </c>
      <c r="D19" s="81">
        <v>43754.87498842592</v>
      </c>
      <c r="F19" s="28">
        <v>289</v>
      </c>
      <c r="G19" s="38">
        <v>100</v>
      </c>
      <c r="H19" s="39">
        <v>100</v>
      </c>
      <c r="I19" s="39">
        <v>100</v>
      </c>
      <c r="J19" s="39">
        <v>100</v>
      </c>
      <c r="K19" s="39">
        <v>100</v>
      </c>
      <c r="L19" s="39">
        <v>100</v>
      </c>
      <c r="M19" s="39">
        <v>100</v>
      </c>
      <c r="N19" s="39">
        <v>100</v>
      </c>
      <c r="O19" s="39">
        <v>100</v>
      </c>
      <c r="P19" s="39">
        <v>100</v>
      </c>
      <c r="Q19" s="39">
        <v>100</v>
      </c>
      <c r="R19" s="39">
        <v>100</v>
      </c>
      <c r="S19" s="48">
        <v>100</v>
      </c>
      <c r="T19" s="48">
        <v>100</v>
      </c>
      <c r="U19" s="39">
        <v>100</v>
      </c>
      <c r="V19" s="39">
        <v>100</v>
      </c>
      <c r="W19" s="39">
        <v>100</v>
      </c>
      <c r="X19" s="39">
        <v>100</v>
      </c>
      <c r="Y19" s="39">
        <v>100</v>
      </c>
      <c r="Z19" s="39">
        <v>100</v>
      </c>
      <c r="AA19" s="39">
        <v>100</v>
      </c>
      <c r="AB19" s="39">
        <v>100</v>
      </c>
      <c r="AC19" s="39">
        <v>100</v>
      </c>
      <c r="AD19" s="51"/>
      <c r="AE19" s="6"/>
      <c r="AF19" s="38"/>
      <c r="AG19" s="40"/>
      <c r="AH19" s="6"/>
      <c r="AI19" s="45"/>
      <c r="AJ19" s="45"/>
    </row>
    <row r="20" spans="1:39">
      <c r="A20" s="1"/>
      <c r="B20" s="1">
        <v>9</v>
      </c>
      <c r="C20" s="81">
        <v>43755.20833333334</v>
      </c>
      <c r="D20" s="81">
        <v>43755.87498842592</v>
      </c>
      <c r="F20" s="28">
        <v>290</v>
      </c>
      <c r="G20" s="38">
        <v>100</v>
      </c>
      <c r="H20" s="39">
        <v>100</v>
      </c>
      <c r="I20" s="39">
        <v>100</v>
      </c>
      <c r="J20" s="39">
        <v>100</v>
      </c>
      <c r="K20" s="39">
        <v>100</v>
      </c>
      <c r="L20" s="39">
        <v>100</v>
      </c>
      <c r="M20" s="39">
        <v>100</v>
      </c>
      <c r="N20" s="39">
        <v>100</v>
      </c>
      <c r="O20" s="39">
        <v>100</v>
      </c>
      <c r="P20" s="39">
        <v>100</v>
      </c>
      <c r="Q20" s="39">
        <v>100</v>
      </c>
      <c r="R20" s="39">
        <v>100</v>
      </c>
      <c r="S20" s="48">
        <v>100</v>
      </c>
      <c r="T20" s="48">
        <v>100</v>
      </c>
      <c r="U20" s="39">
        <v>100</v>
      </c>
      <c r="V20" s="39">
        <v>100</v>
      </c>
      <c r="W20" s="39">
        <v>100</v>
      </c>
      <c r="X20" s="39">
        <v>100</v>
      </c>
      <c r="Y20" s="39">
        <v>100</v>
      </c>
      <c r="Z20" s="39">
        <v>100</v>
      </c>
      <c r="AA20" s="39">
        <v>100</v>
      </c>
      <c r="AB20" s="39">
        <v>100</v>
      </c>
      <c r="AC20" s="39">
        <v>100</v>
      </c>
      <c r="AD20" s="51"/>
      <c r="AE20" s="6"/>
      <c r="AF20" s="38"/>
      <c r="AG20" s="40"/>
      <c r="AH20" s="6"/>
      <c r="AI20" s="45"/>
      <c r="AJ20" s="45"/>
    </row>
    <row r="21" spans="1:39">
      <c r="A21" s="1"/>
      <c r="B21" s="1">
        <v>10</v>
      </c>
      <c r="C21" s="81">
        <v>43756.20833333334</v>
      </c>
      <c r="D21" s="81">
        <v>43756.87498842592</v>
      </c>
      <c r="F21" s="28">
        <v>291</v>
      </c>
      <c r="G21" s="38">
        <v>100</v>
      </c>
      <c r="H21" s="39">
        <v>100</v>
      </c>
      <c r="I21" s="39">
        <v>100</v>
      </c>
      <c r="J21" s="39">
        <v>100</v>
      </c>
      <c r="K21" s="39">
        <v>100</v>
      </c>
      <c r="L21" s="39">
        <v>100</v>
      </c>
      <c r="M21" s="39">
        <v>100</v>
      </c>
      <c r="N21" s="39">
        <v>100</v>
      </c>
      <c r="O21" s="39">
        <v>100</v>
      </c>
      <c r="P21" s="39">
        <v>100</v>
      </c>
      <c r="Q21" s="39">
        <v>100</v>
      </c>
      <c r="R21" s="39">
        <v>100</v>
      </c>
      <c r="S21" s="48">
        <v>100</v>
      </c>
      <c r="T21" s="48">
        <v>100</v>
      </c>
      <c r="U21" s="39">
        <v>100</v>
      </c>
      <c r="V21" s="39">
        <v>100</v>
      </c>
      <c r="W21" s="39">
        <v>100</v>
      </c>
      <c r="X21" s="39">
        <v>100</v>
      </c>
      <c r="Y21" s="39">
        <v>100</v>
      </c>
      <c r="Z21" s="39">
        <v>100</v>
      </c>
      <c r="AA21" s="39">
        <v>100</v>
      </c>
      <c r="AB21" s="39">
        <v>100</v>
      </c>
      <c r="AC21" s="39">
        <v>100</v>
      </c>
      <c r="AD21" s="51"/>
      <c r="AE21" s="6"/>
      <c r="AF21" s="38"/>
      <c r="AG21" s="40"/>
      <c r="AH21" s="6"/>
      <c r="AI21" s="45"/>
      <c r="AJ21" s="45"/>
    </row>
    <row r="22" spans="1:39">
      <c r="A22" s="1"/>
      <c r="B22" s="1">
        <v>11</v>
      </c>
      <c r="C22" s="81">
        <v>43757.20833333334</v>
      </c>
      <c r="D22" s="81">
        <v>43757.87498842592</v>
      </c>
      <c r="F22" s="28">
        <v>292</v>
      </c>
      <c r="G22" s="38">
        <v>100</v>
      </c>
      <c r="H22" s="39">
        <v>100</v>
      </c>
      <c r="I22" s="39">
        <v>100</v>
      </c>
      <c r="J22" s="39">
        <v>100</v>
      </c>
      <c r="K22" s="39">
        <v>100</v>
      </c>
      <c r="L22" s="39">
        <v>100</v>
      </c>
      <c r="M22" s="39">
        <v>100</v>
      </c>
      <c r="N22" s="39">
        <v>100</v>
      </c>
      <c r="O22" s="39">
        <v>100</v>
      </c>
      <c r="P22" s="39">
        <v>100</v>
      </c>
      <c r="Q22" s="39">
        <v>100</v>
      </c>
      <c r="R22" s="39">
        <v>100</v>
      </c>
      <c r="S22" s="48">
        <v>100</v>
      </c>
      <c r="T22" s="48">
        <v>100</v>
      </c>
      <c r="U22" s="39">
        <v>100</v>
      </c>
      <c r="V22" s="39">
        <v>100</v>
      </c>
      <c r="W22" s="39">
        <v>100</v>
      </c>
      <c r="X22" s="39">
        <v>100</v>
      </c>
      <c r="Y22" s="39">
        <v>100</v>
      </c>
      <c r="Z22" s="39">
        <v>100</v>
      </c>
      <c r="AA22" s="39">
        <v>100</v>
      </c>
      <c r="AB22" s="39">
        <v>100</v>
      </c>
      <c r="AC22" s="39">
        <v>100</v>
      </c>
      <c r="AD22" s="51"/>
      <c r="AE22" s="6"/>
      <c r="AF22" s="38"/>
      <c r="AG22" s="40"/>
      <c r="AH22" s="6"/>
      <c r="AI22" s="45"/>
      <c r="AJ22" s="45"/>
    </row>
    <row r="23" spans="1:39">
      <c r="A23" s="1"/>
      <c r="B23" s="1">
        <v>12</v>
      </c>
      <c r="C23" s="81">
        <v>43758.20833333334</v>
      </c>
      <c r="D23" s="81">
        <v>43758.87498842592</v>
      </c>
      <c r="F23" s="28">
        <v>293</v>
      </c>
      <c r="G23" s="38">
        <v>100</v>
      </c>
      <c r="H23" s="39">
        <v>100</v>
      </c>
      <c r="I23" s="39">
        <v>100</v>
      </c>
      <c r="J23" s="39">
        <v>100</v>
      </c>
      <c r="K23" s="39">
        <v>100</v>
      </c>
      <c r="L23" s="39">
        <v>100</v>
      </c>
      <c r="M23" s="39">
        <v>100</v>
      </c>
      <c r="N23" s="39">
        <v>100</v>
      </c>
      <c r="O23" s="39">
        <v>100</v>
      </c>
      <c r="P23" s="39">
        <v>100</v>
      </c>
      <c r="Q23" s="39">
        <v>100</v>
      </c>
      <c r="R23" s="39">
        <v>100</v>
      </c>
      <c r="S23" s="48">
        <v>100</v>
      </c>
      <c r="T23" s="48">
        <v>100</v>
      </c>
      <c r="U23" s="39">
        <v>100</v>
      </c>
      <c r="V23" s="39">
        <v>100</v>
      </c>
      <c r="W23" s="39">
        <v>100</v>
      </c>
      <c r="X23" s="39">
        <v>100</v>
      </c>
      <c r="Y23" s="39">
        <v>100</v>
      </c>
      <c r="Z23" s="39">
        <v>100</v>
      </c>
      <c r="AA23" s="39">
        <v>100</v>
      </c>
      <c r="AB23" s="39">
        <v>100</v>
      </c>
      <c r="AC23" s="39">
        <v>100</v>
      </c>
      <c r="AD23" s="51"/>
      <c r="AE23" s="6"/>
      <c r="AF23" s="38"/>
      <c r="AG23" s="40"/>
      <c r="AH23" s="6"/>
      <c r="AI23" s="45"/>
      <c r="AJ23" s="45"/>
    </row>
    <row r="24" spans="1:39">
      <c r="A24" s="1"/>
      <c r="B24" s="1">
        <v>13</v>
      </c>
      <c r="C24" s="81">
        <v>43759.20833333334</v>
      </c>
      <c r="D24" s="81">
        <v>43759.87498842592</v>
      </c>
      <c r="F24" s="28">
        <v>294</v>
      </c>
      <c r="G24" s="38">
        <v>100</v>
      </c>
      <c r="H24" s="39">
        <v>100</v>
      </c>
      <c r="I24" s="39">
        <v>100</v>
      </c>
      <c r="J24" s="39">
        <v>100</v>
      </c>
      <c r="K24" s="39">
        <v>100</v>
      </c>
      <c r="L24" s="39">
        <v>100</v>
      </c>
      <c r="M24" s="39">
        <v>100</v>
      </c>
      <c r="N24" s="39">
        <v>100</v>
      </c>
      <c r="O24" s="39">
        <v>100</v>
      </c>
      <c r="P24" s="39">
        <v>100</v>
      </c>
      <c r="Q24" s="39">
        <v>100</v>
      </c>
      <c r="R24" s="39">
        <v>100</v>
      </c>
      <c r="S24" s="48">
        <v>100</v>
      </c>
      <c r="T24" s="48">
        <v>100</v>
      </c>
      <c r="U24" s="39">
        <v>100</v>
      </c>
      <c r="V24" s="39">
        <v>100</v>
      </c>
      <c r="W24" s="39">
        <v>100</v>
      </c>
      <c r="X24" s="39">
        <v>100</v>
      </c>
      <c r="Y24" s="39">
        <v>100</v>
      </c>
      <c r="Z24" s="39">
        <v>100</v>
      </c>
      <c r="AA24" s="39">
        <v>100</v>
      </c>
      <c r="AB24" s="39">
        <v>100</v>
      </c>
      <c r="AC24" s="39">
        <v>100</v>
      </c>
      <c r="AD24" s="51"/>
      <c r="AE24" s="6"/>
      <c r="AF24" s="38"/>
      <c r="AG24" s="40"/>
      <c r="AH24" s="6"/>
      <c r="AI24" s="45"/>
      <c r="AJ24" s="45"/>
    </row>
    <row r="25" spans="1:39">
      <c r="A25" s="1"/>
      <c r="B25" s="1">
        <v>14</v>
      </c>
      <c r="C25" s="81">
        <v>43760.20833333334</v>
      </c>
      <c r="D25" s="81">
        <v>43760.87498842592</v>
      </c>
      <c r="F25" s="28">
        <v>295</v>
      </c>
      <c r="G25" s="38">
        <v>100</v>
      </c>
      <c r="H25" s="39">
        <v>100</v>
      </c>
      <c r="I25" s="39">
        <v>100</v>
      </c>
      <c r="J25" s="39">
        <v>100</v>
      </c>
      <c r="K25" s="39">
        <v>100</v>
      </c>
      <c r="L25" s="39">
        <v>100</v>
      </c>
      <c r="M25" s="39">
        <v>100</v>
      </c>
      <c r="N25" s="39">
        <v>100</v>
      </c>
      <c r="O25" s="39">
        <v>100</v>
      </c>
      <c r="P25" s="39">
        <v>100</v>
      </c>
      <c r="Q25" s="39">
        <v>100</v>
      </c>
      <c r="R25" s="39">
        <v>100</v>
      </c>
      <c r="S25" s="48">
        <v>100</v>
      </c>
      <c r="T25" s="48">
        <v>100</v>
      </c>
      <c r="U25" s="39">
        <v>100</v>
      </c>
      <c r="V25" s="39">
        <v>100</v>
      </c>
      <c r="W25" s="39">
        <v>100</v>
      </c>
      <c r="X25" s="39">
        <v>100</v>
      </c>
      <c r="Y25" s="39">
        <v>100</v>
      </c>
      <c r="Z25" s="39">
        <v>100</v>
      </c>
      <c r="AA25" s="39">
        <v>100</v>
      </c>
      <c r="AB25" s="39">
        <v>100</v>
      </c>
      <c r="AC25" s="39">
        <v>100</v>
      </c>
      <c r="AD25" s="51"/>
      <c r="AE25" s="6"/>
      <c r="AF25" s="38"/>
      <c r="AG25" s="40"/>
      <c r="AH25" s="6"/>
      <c r="AI25" s="45"/>
      <c r="AJ25" s="45"/>
    </row>
    <row r="26" spans="1:39">
      <c r="A26" s="1"/>
      <c r="B26" s="1">
        <v>15</v>
      </c>
      <c r="C26" s="81">
        <v>43761.20833333334</v>
      </c>
      <c r="D26" s="81">
        <v>43761.87498842592</v>
      </c>
      <c r="F26" s="28">
        <v>296</v>
      </c>
      <c r="G26" s="38">
        <v>100</v>
      </c>
      <c r="H26" s="39">
        <v>100</v>
      </c>
      <c r="I26" s="39">
        <v>100</v>
      </c>
      <c r="J26" s="39">
        <v>100</v>
      </c>
      <c r="K26" s="39">
        <v>100</v>
      </c>
      <c r="L26" s="39">
        <v>100</v>
      </c>
      <c r="M26" s="39">
        <v>100</v>
      </c>
      <c r="N26" s="39">
        <v>100</v>
      </c>
      <c r="O26" s="39">
        <v>99.96527657210299</v>
      </c>
      <c r="P26" s="39">
        <v>100</v>
      </c>
      <c r="Q26" s="39">
        <v>100</v>
      </c>
      <c r="R26" s="39">
        <v>100</v>
      </c>
      <c r="S26" s="48">
        <v>100</v>
      </c>
      <c r="T26" s="48">
        <v>100</v>
      </c>
      <c r="U26" s="39">
        <v>100</v>
      </c>
      <c r="V26" s="39">
        <v>100</v>
      </c>
      <c r="W26" s="39">
        <v>100</v>
      </c>
      <c r="X26" s="39">
        <v>100</v>
      </c>
      <c r="Y26" s="39">
        <v>100</v>
      </c>
      <c r="Z26" s="39">
        <v>100</v>
      </c>
      <c r="AA26" s="39">
        <v>100</v>
      </c>
      <c r="AB26" s="39">
        <v>100</v>
      </c>
      <c r="AC26" s="39">
        <v>100</v>
      </c>
      <c r="AD26" s="51"/>
      <c r="AE26" s="6"/>
      <c r="AF26" s="38"/>
      <c r="AG26" s="40"/>
      <c r="AH26" s="6"/>
      <c r="AI26" s="45"/>
      <c r="AJ26" s="45"/>
    </row>
    <row r="27" spans="1:39">
      <c r="A27" s="1"/>
      <c r="B27" s="1">
        <v>16</v>
      </c>
      <c r="C27" s="81">
        <v>43762.20833333334</v>
      </c>
      <c r="D27" s="81">
        <v>43762.87498842592</v>
      </c>
      <c r="F27" s="28">
        <v>297</v>
      </c>
      <c r="G27" s="38">
        <v>100</v>
      </c>
      <c r="H27" s="39">
        <v>100</v>
      </c>
      <c r="I27" s="39">
        <v>100</v>
      </c>
      <c r="J27" s="39">
        <v>100</v>
      </c>
      <c r="K27" s="39">
        <v>100</v>
      </c>
      <c r="L27" s="39">
        <v>100</v>
      </c>
      <c r="M27" s="39">
        <v>100</v>
      </c>
      <c r="N27" s="39">
        <v>100</v>
      </c>
      <c r="O27" s="39">
        <v>100</v>
      </c>
      <c r="P27" s="39">
        <v>100</v>
      </c>
      <c r="Q27" s="39">
        <v>100</v>
      </c>
      <c r="R27" s="39">
        <v>100</v>
      </c>
      <c r="S27" s="48">
        <v>100</v>
      </c>
      <c r="T27" s="48">
        <v>100</v>
      </c>
      <c r="U27" s="39">
        <v>100</v>
      </c>
      <c r="V27" s="39">
        <v>100</v>
      </c>
      <c r="W27" s="39">
        <v>100</v>
      </c>
      <c r="X27" s="39">
        <v>100</v>
      </c>
      <c r="Y27" s="39">
        <v>100</v>
      </c>
      <c r="Z27" s="39">
        <v>100</v>
      </c>
      <c r="AA27" s="39">
        <v>100</v>
      </c>
      <c r="AB27" s="39">
        <v>100</v>
      </c>
      <c r="AC27" s="39">
        <v>100</v>
      </c>
      <c r="AD27" s="51"/>
      <c r="AE27" s="6"/>
      <c r="AF27" s="38"/>
      <c r="AG27" s="40"/>
      <c r="AH27" s="6"/>
      <c r="AI27" s="45"/>
      <c r="AJ27" s="45"/>
    </row>
    <row r="28" spans="1:39">
      <c r="A28" s="1"/>
      <c r="B28" s="1">
        <v>17</v>
      </c>
      <c r="C28" s="81">
        <v>43763.20833333334</v>
      </c>
      <c r="D28" s="81">
        <v>43763.87498842592</v>
      </c>
      <c r="F28" s="28">
        <v>298</v>
      </c>
      <c r="G28" s="38">
        <v>100</v>
      </c>
      <c r="H28" s="39">
        <v>100</v>
      </c>
      <c r="I28" s="39">
        <v>100</v>
      </c>
      <c r="J28" s="39">
        <v>100</v>
      </c>
      <c r="K28" s="39">
        <v>100</v>
      </c>
      <c r="L28" s="39">
        <v>100</v>
      </c>
      <c r="M28" s="39">
        <v>100</v>
      </c>
      <c r="N28" s="39">
        <v>100</v>
      </c>
      <c r="O28" s="39">
        <v>99.998263828605</v>
      </c>
      <c r="P28" s="39">
        <v>100</v>
      </c>
      <c r="Q28" s="39">
        <v>100</v>
      </c>
      <c r="R28" s="39">
        <v>100</v>
      </c>
      <c r="S28" s="48">
        <v>100</v>
      </c>
      <c r="T28" s="48">
        <v>100</v>
      </c>
      <c r="U28" s="39">
        <v>100</v>
      </c>
      <c r="V28" s="39">
        <v>100</v>
      </c>
      <c r="W28" s="39">
        <v>100</v>
      </c>
      <c r="X28" s="39">
        <v>100</v>
      </c>
      <c r="Y28" s="39">
        <v>100</v>
      </c>
      <c r="Z28" s="39">
        <v>100</v>
      </c>
      <c r="AA28" s="39">
        <v>100</v>
      </c>
      <c r="AB28" s="39">
        <v>100</v>
      </c>
      <c r="AC28" s="39">
        <v>100</v>
      </c>
      <c r="AD28" s="51"/>
      <c r="AE28" s="6"/>
      <c r="AF28" s="38"/>
      <c r="AG28" s="40"/>
      <c r="AH28" s="6"/>
      <c r="AI28" s="45"/>
      <c r="AJ28" s="45"/>
    </row>
    <row r="29" spans="1:39">
      <c r="A29" s="1"/>
      <c r="B29" s="1">
        <v>18</v>
      </c>
      <c r="C29" s="81">
        <v>43764.20833333334</v>
      </c>
      <c r="D29" s="81">
        <v>43764.87498842592</v>
      </c>
      <c r="F29" s="28">
        <v>299</v>
      </c>
      <c r="G29" s="38">
        <v>100</v>
      </c>
      <c r="H29" s="39">
        <v>100</v>
      </c>
      <c r="I29" s="39">
        <v>100</v>
      </c>
      <c r="J29" s="39">
        <v>100</v>
      </c>
      <c r="K29" s="39">
        <v>100</v>
      </c>
      <c r="L29" s="39">
        <v>100</v>
      </c>
      <c r="M29" s="39">
        <v>100</v>
      </c>
      <c r="N29" s="39">
        <v>100</v>
      </c>
      <c r="O29" s="39">
        <v>100</v>
      </c>
      <c r="P29" s="39">
        <v>100</v>
      </c>
      <c r="Q29" s="39">
        <v>100</v>
      </c>
      <c r="R29" s="39">
        <v>100</v>
      </c>
      <c r="S29" s="48">
        <v>100</v>
      </c>
      <c r="T29" s="48">
        <v>100</v>
      </c>
      <c r="U29" s="39">
        <v>100</v>
      </c>
      <c r="V29" s="39">
        <v>100</v>
      </c>
      <c r="W29" s="39">
        <v>100</v>
      </c>
      <c r="X29" s="39">
        <v>100</v>
      </c>
      <c r="Y29" s="39">
        <v>100</v>
      </c>
      <c r="Z29" s="39">
        <v>100</v>
      </c>
      <c r="AA29" s="39">
        <v>100</v>
      </c>
      <c r="AB29" s="39">
        <v>100</v>
      </c>
      <c r="AC29" s="39">
        <v>100</v>
      </c>
      <c r="AD29" s="51"/>
      <c r="AE29" s="6"/>
      <c r="AF29" s="38"/>
      <c r="AG29" s="40"/>
      <c r="AH29" s="6"/>
      <c r="AI29" s="45"/>
      <c r="AJ29" s="45"/>
    </row>
    <row r="30" spans="1:39">
      <c r="A30" s="1"/>
      <c r="B30" s="1">
        <v>19</v>
      </c>
      <c r="C30" s="81">
        <v>43765.20833333334</v>
      </c>
      <c r="D30" s="81">
        <v>43765.87498842592</v>
      </c>
      <c r="F30" s="28">
        <v>300</v>
      </c>
      <c r="G30" s="38">
        <v>100</v>
      </c>
      <c r="H30" s="39">
        <v>100</v>
      </c>
      <c r="I30" s="39">
        <v>100</v>
      </c>
      <c r="J30" s="39">
        <v>100</v>
      </c>
      <c r="K30" s="39">
        <v>100</v>
      </c>
      <c r="L30" s="39">
        <v>100</v>
      </c>
      <c r="M30" s="39">
        <v>100</v>
      </c>
      <c r="N30" s="39">
        <v>100</v>
      </c>
      <c r="O30" s="39">
        <v>100</v>
      </c>
      <c r="P30" s="39">
        <v>100</v>
      </c>
      <c r="Q30" s="39">
        <v>100</v>
      </c>
      <c r="R30" s="39">
        <v>100</v>
      </c>
      <c r="S30" s="48">
        <v>100</v>
      </c>
      <c r="T30" s="48">
        <v>100</v>
      </c>
      <c r="U30" s="39">
        <v>100</v>
      </c>
      <c r="V30" s="39">
        <v>100</v>
      </c>
      <c r="W30" s="39">
        <v>100</v>
      </c>
      <c r="X30" s="39">
        <v>100</v>
      </c>
      <c r="Y30" s="39">
        <v>100</v>
      </c>
      <c r="Z30" s="39">
        <v>100</v>
      </c>
      <c r="AA30" s="39">
        <v>100</v>
      </c>
      <c r="AB30" s="39">
        <v>100</v>
      </c>
      <c r="AC30" s="39">
        <v>100</v>
      </c>
      <c r="AD30" s="51"/>
      <c r="AE30" s="6"/>
      <c r="AF30" s="38"/>
      <c r="AG30" s="40"/>
      <c r="AH30" s="6"/>
      <c r="AI30" s="45"/>
      <c r="AJ30" s="45"/>
    </row>
    <row r="31" spans="1:39">
      <c r="A31" s="1"/>
      <c r="B31" s="1">
        <v>20</v>
      </c>
      <c r="C31" s="81">
        <v>43766.20833333334</v>
      </c>
      <c r="D31" s="81">
        <v>43766.87498842592</v>
      </c>
      <c r="F31" s="28">
        <v>301</v>
      </c>
      <c r="G31" s="38">
        <v>100</v>
      </c>
      <c r="H31" s="39">
        <v>100</v>
      </c>
      <c r="I31" s="39">
        <v>100</v>
      </c>
      <c r="J31" s="39">
        <v>100</v>
      </c>
      <c r="K31" s="39">
        <v>100</v>
      </c>
      <c r="L31" s="39">
        <v>100</v>
      </c>
      <c r="M31" s="39">
        <v>100</v>
      </c>
      <c r="N31" s="39">
        <v>100</v>
      </c>
      <c r="O31" s="39">
        <v>100</v>
      </c>
      <c r="P31" s="39">
        <v>100</v>
      </c>
      <c r="Q31" s="39">
        <v>100</v>
      </c>
      <c r="R31" s="39">
        <v>100</v>
      </c>
      <c r="S31" s="48">
        <v>100</v>
      </c>
      <c r="T31" s="48">
        <v>100</v>
      </c>
      <c r="U31" s="39">
        <v>100</v>
      </c>
      <c r="V31" s="39">
        <v>100</v>
      </c>
      <c r="W31" s="39">
        <v>100</v>
      </c>
      <c r="X31" s="39">
        <v>100</v>
      </c>
      <c r="Y31" s="39">
        <v>100</v>
      </c>
      <c r="Z31" s="39">
        <v>100</v>
      </c>
      <c r="AA31" s="39">
        <v>100</v>
      </c>
      <c r="AB31" s="39">
        <v>100</v>
      </c>
      <c r="AC31" s="39">
        <v>100</v>
      </c>
      <c r="AD31" s="51"/>
      <c r="AE31" s="6"/>
      <c r="AF31" s="38"/>
      <c r="AG31" s="40"/>
      <c r="AH31" s="6"/>
      <c r="AI31" s="45"/>
      <c r="AJ31" s="45"/>
    </row>
    <row r="32" spans="1:39">
      <c r="A32" s="1"/>
      <c r="B32" s="1">
        <v>21</v>
      </c>
      <c r="C32" s="81">
        <v>43767.20833333334</v>
      </c>
      <c r="D32" s="81">
        <v>43767.87498842592</v>
      </c>
      <c r="F32" s="28">
        <v>302</v>
      </c>
      <c r="G32" s="38">
        <v>100</v>
      </c>
      <c r="H32" s="39">
        <v>100</v>
      </c>
      <c r="I32" s="39">
        <v>100</v>
      </c>
      <c r="J32" s="39">
        <v>100</v>
      </c>
      <c r="K32" s="39">
        <v>100</v>
      </c>
      <c r="L32" s="39">
        <v>100</v>
      </c>
      <c r="M32" s="39">
        <v>100</v>
      </c>
      <c r="N32" s="39">
        <v>100</v>
      </c>
      <c r="O32" s="39">
        <v>100</v>
      </c>
      <c r="P32" s="39">
        <v>100</v>
      </c>
      <c r="Q32" s="39">
        <v>100</v>
      </c>
      <c r="R32" s="39">
        <v>100</v>
      </c>
      <c r="S32" s="48">
        <v>100</v>
      </c>
      <c r="T32" s="48">
        <v>100</v>
      </c>
      <c r="U32" s="39">
        <v>100</v>
      </c>
      <c r="V32" s="39">
        <v>100</v>
      </c>
      <c r="W32" s="39">
        <v>100</v>
      </c>
      <c r="X32" s="39">
        <v>100</v>
      </c>
      <c r="Y32" s="39">
        <v>100</v>
      </c>
      <c r="Z32" s="39">
        <v>100</v>
      </c>
      <c r="AA32" s="39">
        <v>100</v>
      </c>
      <c r="AB32" s="39">
        <v>100</v>
      </c>
      <c r="AC32" s="39">
        <v>100</v>
      </c>
      <c r="AD32" s="51"/>
      <c r="AE32" s="6"/>
      <c r="AF32" s="38"/>
      <c r="AG32" s="40"/>
      <c r="AH32" s="6"/>
      <c r="AI32" s="45"/>
      <c r="AJ32" s="45"/>
    </row>
    <row r="33" spans="1:39">
      <c r="A33" s="1"/>
      <c r="B33" s="1">
        <v>22</v>
      </c>
      <c r="C33" s="81">
        <v>43768.20833333334</v>
      </c>
      <c r="D33" s="81">
        <v>43768.87498842592</v>
      </c>
      <c r="F33" s="28">
        <v>303</v>
      </c>
      <c r="G33" s="38">
        <v>100</v>
      </c>
      <c r="H33" s="39">
        <v>100</v>
      </c>
      <c r="I33" s="39">
        <v>100</v>
      </c>
      <c r="J33" s="39">
        <v>100</v>
      </c>
      <c r="K33" s="39">
        <v>100</v>
      </c>
      <c r="L33" s="39">
        <v>100</v>
      </c>
      <c r="M33" s="39">
        <v>100</v>
      </c>
      <c r="N33" s="39">
        <v>100</v>
      </c>
      <c r="O33" s="39">
        <v>59.491649015591</v>
      </c>
      <c r="P33" s="39">
        <v>100</v>
      </c>
      <c r="Q33" s="39">
        <v>100</v>
      </c>
      <c r="R33" s="39">
        <v>100</v>
      </c>
      <c r="S33" s="48">
        <v>91.874717872148</v>
      </c>
      <c r="T33" s="48">
        <v>100</v>
      </c>
      <c r="U33" s="39">
        <v>100</v>
      </c>
      <c r="V33" s="39">
        <v>100</v>
      </c>
      <c r="W33" s="39">
        <v>100</v>
      </c>
      <c r="X33" s="39">
        <v>100</v>
      </c>
      <c r="Y33" s="39">
        <v>100</v>
      </c>
      <c r="Z33" s="39">
        <v>100</v>
      </c>
      <c r="AA33" s="39">
        <v>100</v>
      </c>
      <c r="AB33" s="39">
        <v>100</v>
      </c>
      <c r="AC33" s="39">
        <v>100</v>
      </c>
      <c r="AD33" s="51"/>
      <c r="AE33" s="6"/>
      <c r="AF33" s="38"/>
      <c r="AG33" s="40"/>
      <c r="AH33" s="6"/>
      <c r="AI33" s="45"/>
      <c r="AJ33" s="45"/>
    </row>
    <row r="34" spans="1:39">
      <c r="A34" s="1"/>
      <c r="B34" s="1">
        <v>23</v>
      </c>
      <c r="C34" s="81">
        <v>43769.20833333334</v>
      </c>
      <c r="D34" s="81">
        <v>43769.87498842592</v>
      </c>
      <c r="F34" s="28">
        <v>304</v>
      </c>
      <c r="G34" s="38">
        <v>100</v>
      </c>
      <c r="H34" s="39">
        <v>100</v>
      </c>
      <c r="I34" s="39">
        <v>100</v>
      </c>
      <c r="J34" s="39">
        <v>100</v>
      </c>
      <c r="K34" s="39">
        <v>100</v>
      </c>
      <c r="L34" s="39">
        <v>100</v>
      </c>
      <c r="M34" s="39">
        <v>100</v>
      </c>
      <c r="N34" s="39">
        <v>100</v>
      </c>
      <c r="O34" s="39">
        <v>100</v>
      </c>
      <c r="P34" s="39">
        <v>100</v>
      </c>
      <c r="Q34" s="39">
        <v>100</v>
      </c>
      <c r="R34" s="39">
        <v>100</v>
      </c>
      <c r="S34" s="48">
        <v>100</v>
      </c>
      <c r="T34" s="48">
        <v>100</v>
      </c>
      <c r="U34" s="39">
        <v>100</v>
      </c>
      <c r="V34" s="39">
        <v>100</v>
      </c>
      <c r="W34" s="39">
        <v>100</v>
      </c>
      <c r="X34" s="39">
        <v>100</v>
      </c>
      <c r="Y34" s="39">
        <v>100</v>
      </c>
      <c r="Z34" s="39">
        <v>100</v>
      </c>
      <c r="AA34" s="39">
        <v>100</v>
      </c>
      <c r="AB34" s="39">
        <v>100</v>
      </c>
      <c r="AC34" s="39">
        <v>100</v>
      </c>
      <c r="AD34" s="51"/>
      <c r="AE34" s="6"/>
      <c r="AF34" s="38"/>
      <c r="AG34" s="40"/>
      <c r="AH34" s="6"/>
      <c r="AI34" s="45"/>
      <c r="AJ34" s="45"/>
    </row>
    <row r="35" spans="1:39">
      <c r="A35" s="1"/>
      <c r="B35" s="1">
        <v>24</v>
      </c>
      <c r="C35" s="81">
        <v>43770.20833333334</v>
      </c>
      <c r="D35" s="81">
        <v>43770.87498842592</v>
      </c>
      <c r="F35" s="28">
        <v>305</v>
      </c>
      <c r="G35" s="38">
        <v>100</v>
      </c>
      <c r="H35" s="39">
        <v>100</v>
      </c>
      <c r="I35" s="39">
        <v>100</v>
      </c>
      <c r="J35" s="39">
        <v>100</v>
      </c>
      <c r="K35" s="39">
        <v>100</v>
      </c>
      <c r="L35" s="39">
        <v>100</v>
      </c>
      <c r="M35" s="39">
        <v>100</v>
      </c>
      <c r="N35" s="39">
        <v>100</v>
      </c>
      <c r="O35" s="39">
        <v>100</v>
      </c>
      <c r="P35" s="39">
        <v>100</v>
      </c>
      <c r="Q35" s="39">
        <v>100</v>
      </c>
      <c r="R35" s="39">
        <v>100</v>
      </c>
      <c r="S35" s="48">
        <v>100</v>
      </c>
      <c r="T35" s="48">
        <v>100</v>
      </c>
      <c r="U35" s="39">
        <v>100</v>
      </c>
      <c r="V35" s="39">
        <v>100</v>
      </c>
      <c r="W35" s="39">
        <v>100</v>
      </c>
      <c r="X35" s="39">
        <v>100</v>
      </c>
      <c r="Y35" s="39">
        <v>100</v>
      </c>
      <c r="Z35" s="39">
        <v>100</v>
      </c>
      <c r="AA35" s="39">
        <v>100</v>
      </c>
      <c r="AB35" s="39">
        <v>100</v>
      </c>
      <c r="AC35" s="39">
        <v>100</v>
      </c>
      <c r="AD35" s="51"/>
      <c r="AE35" s="6"/>
      <c r="AF35" s="38"/>
      <c r="AG35" s="40"/>
      <c r="AH35" s="6"/>
      <c r="AI35" s="45"/>
      <c r="AJ35" s="45"/>
    </row>
    <row r="36" spans="1:39">
      <c r="A36" s="1"/>
      <c r="B36" s="1">
        <v>25</v>
      </c>
      <c r="C36" s="81">
        <v>43771.20833333334</v>
      </c>
      <c r="D36" s="81">
        <v>43771.87498842592</v>
      </c>
      <c r="F36" s="28">
        <v>306</v>
      </c>
      <c r="G36" s="38">
        <v>100</v>
      </c>
      <c r="H36" s="39">
        <v>100</v>
      </c>
      <c r="I36" s="39">
        <v>100</v>
      </c>
      <c r="J36" s="39">
        <v>100</v>
      </c>
      <c r="K36" s="39">
        <v>100</v>
      </c>
      <c r="L36" s="39">
        <v>100</v>
      </c>
      <c r="M36" s="39">
        <v>100</v>
      </c>
      <c r="N36" s="39">
        <v>100</v>
      </c>
      <c r="O36" s="39">
        <v>100</v>
      </c>
      <c r="P36" s="39">
        <v>100</v>
      </c>
      <c r="Q36" s="39">
        <v>100</v>
      </c>
      <c r="R36" s="39">
        <v>100</v>
      </c>
      <c r="S36" s="48">
        <v>100</v>
      </c>
      <c r="T36" s="48">
        <v>100</v>
      </c>
      <c r="U36" s="39">
        <v>100</v>
      </c>
      <c r="V36" s="39">
        <v>100</v>
      </c>
      <c r="W36" s="39">
        <v>100</v>
      </c>
      <c r="X36" s="39">
        <v>100</v>
      </c>
      <c r="Y36" s="39">
        <v>100</v>
      </c>
      <c r="Z36" s="39">
        <v>100</v>
      </c>
      <c r="AA36" s="39">
        <v>100</v>
      </c>
      <c r="AB36" s="39">
        <v>100</v>
      </c>
      <c r="AC36" s="39">
        <v>100</v>
      </c>
      <c r="AD36" s="51"/>
      <c r="AE36" s="6"/>
      <c r="AF36" s="38"/>
      <c r="AG36" s="40"/>
      <c r="AH36" s="6"/>
      <c r="AI36" s="45"/>
      <c r="AJ36" s="45"/>
    </row>
    <row r="37" spans="1:39">
      <c r="A37" s="1"/>
      <c r="B37" s="1">
        <v>26</v>
      </c>
      <c r="C37" s="81">
        <v>43772.20833333334</v>
      </c>
      <c r="D37" s="81">
        <v>43772.87498842592</v>
      </c>
      <c r="F37" s="28">
        <v>307</v>
      </c>
      <c r="G37" s="38">
        <v>100</v>
      </c>
      <c r="H37" s="39">
        <v>100</v>
      </c>
      <c r="I37" s="39">
        <v>100</v>
      </c>
      <c r="J37" s="39">
        <v>100</v>
      </c>
      <c r="K37" s="39">
        <v>100</v>
      </c>
      <c r="L37" s="39">
        <v>100</v>
      </c>
      <c r="M37" s="39">
        <v>100</v>
      </c>
      <c r="N37" s="39">
        <v>100</v>
      </c>
      <c r="O37" s="39">
        <v>100</v>
      </c>
      <c r="P37" s="39">
        <v>100</v>
      </c>
      <c r="Q37" s="39">
        <v>100</v>
      </c>
      <c r="R37" s="39">
        <v>100</v>
      </c>
      <c r="S37" s="48">
        <v>100</v>
      </c>
      <c r="T37" s="48">
        <v>100</v>
      </c>
      <c r="U37" s="39">
        <v>100</v>
      </c>
      <c r="V37" s="39">
        <v>100</v>
      </c>
      <c r="W37" s="39">
        <v>100</v>
      </c>
      <c r="X37" s="39">
        <v>100</v>
      </c>
      <c r="Y37" s="39">
        <v>100</v>
      </c>
      <c r="Z37" s="39">
        <v>100</v>
      </c>
      <c r="AA37" s="39">
        <v>100</v>
      </c>
      <c r="AB37" s="39">
        <v>100</v>
      </c>
      <c r="AC37" s="39">
        <v>100</v>
      </c>
      <c r="AD37" s="51"/>
      <c r="AE37" s="6"/>
      <c r="AF37" s="38"/>
      <c r="AG37" s="40"/>
      <c r="AH37" s="6"/>
      <c r="AI37" s="45"/>
      <c r="AJ37" s="45"/>
    </row>
    <row r="38" spans="1:39">
      <c r="A38" s="1"/>
      <c r="B38" s="1">
        <v>27</v>
      </c>
      <c r="C38" s="81">
        <v>43773.20833333334</v>
      </c>
      <c r="D38" s="81">
        <v>43773.87498842592</v>
      </c>
      <c r="F38" s="28">
        <v>308</v>
      </c>
      <c r="G38" s="38">
        <v>100</v>
      </c>
      <c r="H38" s="39">
        <v>100</v>
      </c>
      <c r="I38" s="39">
        <v>100</v>
      </c>
      <c r="J38" s="39">
        <v>100</v>
      </c>
      <c r="K38" s="39">
        <v>100</v>
      </c>
      <c r="L38" s="39">
        <v>100</v>
      </c>
      <c r="M38" s="39">
        <v>100</v>
      </c>
      <c r="N38" s="39">
        <v>100</v>
      </c>
      <c r="O38" s="39">
        <v>100</v>
      </c>
      <c r="P38" s="39">
        <v>100</v>
      </c>
      <c r="Q38" s="39">
        <v>100</v>
      </c>
      <c r="R38" s="39">
        <v>100</v>
      </c>
      <c r="S38" s="48">
        <v>100</v>
      </c>
      <c r="T38" s="48">
        <v>100</v>
      </c>
      <c r="U38" s="39">
        <v>100</v>
      </c>
      <c r="V38" s="39">
        <v>100</v>
      </c>
      <c r="W38" s="39">
        <v>100</v>
      </c>
      <c r="X38" s="39">
        <v>100</v>
      </c>
      <c r="Y38" s="39">
        <v>100</v>
      </c>
      <c r="Z38" s="39">
        <v>100</v>
      </c>
      <c r="AA38" s="39">
        <v>100</v>
      </c>
      <c r="AB38" s="39">
        <v>100</v>
      </c>
      <c r="AC38" s="39">
        <v>100</v>
      </c>
      <c r="AD38" s="51"/>
      <c r="AE38" s="6"/>
      <c r="AF38" s="38"/>
      <c r="AG38" s="40"/>
      <c r="AH38" s="6"/>
      <c r="AI38" s="45"/>
      <c r="AJ38" s="45"/>
    </row>
    <row r="39" spans="1:39">
      <c r="A39" s="1"/>
      <c r="B39" s="1">
        <v>28</v>
      </c>
      <c r="C39" s="81">
        <v>43774.20833333334</v>
      </c>
      <c r="D39" s="81">
        <v>43774.87498842592</v>
      </c>
      <c r="F39" s="28">
        <v>309</v>
      </c>
      <c r="G39" s="38">
        <v>100</v>
      </c>
      <c r="H39" s="39">
        <v>100</v>
      </c>
      <c r="I39" s="39">
        <v>100</v>
      </c>
      <c r="J39" s="39">
        <v>100</v>
      </c>
      <c r="K39" s="39">
        <v>100</v>
      </c>
      <c r="L39" s="39">
        <v>100</v>
      </c>
      <c r="M39" s="39">
        <v>100</v>
      </c>
      <c r="N39" s="39">
        <v>100</v>
      </c>
      <c r="O39" s="39">
        <v>98.675301225737</v>
      </c>
      <c r="P39" s="39">
        <v>100</v>
      </c>
      <c r="Q39" s="39">
        <v>100</v>
      </c>
      <c r="R39" s="39">
        <v>100</v>
      </c>
      <c r="S39" s="48">
        <v>98.782943852217</v>
      </c>
      <c r="T39" s="48">
        <v>100</v>
      </c>
      <c r="U39" s="39">
        <v>100</v>
      </c>
      <c r="V39" s="39">
        <v>100</v>
      </c>
      <c r="W39" s="39">
        <v>100</v>
      </c>
      <c r="X39" s="39">
        <v>100</v>
      </c>
      <c r="Y39" s="39">
        <v>100</v>
      </c>
      <c r="Z39" s="39">
        <v>100</v>
      </c>
      <c r="AA39" s="39">
        <v>100</v>
      </c>
      <c r="AB39" s="39">
        <v>100</v>
      </c>
      <c r="AC39" s="39">
        <v>100</v>
      </c>
      <c r="AD39" s="51"/>
      <c r="AE39" s="6"/>
      <c r="AF39" s="38"/>
      <c r="AG39" s="40"/>
      <c r="AH39" s="6"/>
      <c r="AI39" s="45"/>
      <c r="AJ39" s="45"/>
    </row>
    <row r="40" spans="1:39">
      <c r="A40" s="1"/>
      <c r="B40" s="1">
        <v>29</v>
      </c>
      <c r="C40" s="81">
        <v>43775.20833333334</v>
      </c>
      <c r="D40" s="81">
        <v>43775.87498842592</v>
      </c>
      <c r="F40" s="28">
        <v>310</v>
      </c>
      <c r="G40" s="38">
        <v>100</v>
      </c>
      <c r="H40" s="39">
        <v>100</v>
      </c>
      <c r="I40" s="39">
        <v>69.479843050106</v>
      </c>
      <c r="J40" s="39">
        <v>100</v>
      </c>
      <c r="K40" s="39">
        <v>100</v>
      </c>
      <c r="L40" s="39">
        <v>100</v>
      </c>
      <c r="M40" s="39">
        <v>100</v>
      </c>
      <c r="N40" s="39">
        <v>100</v>
      </c>
      <c r="O40" s="39">
        <v>99.229139900691</v>
      </c>
      <c r="P40" s="39">
        <v>94.546685648807</v>
      </c>
      <c r="Q40" s="39">
        <v>69.460745164763</v>
      </c>
      <c r="R40" s="39">
        <v>69.462481336157</v>
      </c>
      <c r="S40" s="48">
        <v>99.00864613354599</v>
      </c>
      <c r="T40" s="48">
        <v>69.46421750755199</v>
      </c>
      <c r="U40" s="39">
        <v>100</v>
      </c>
      <c r="V40" s="39">
        <v>93.195944303622</v>
      </c>
      <c r="W40" s="39">
        <v>100</v>
      </c>
      <c r="X40" s="39">
        <v>93.67339143720299</v>
      </c>
      <c r="Y40" s="39">
        <v>69.465953678947</v>
      </c>
      <c r="Z40" s="39">
        <v>100</v>
      </c>
      <c r="AA40" s="39">
        <v>100</v>
      </c>
      <c r="AB40" s="39">
        <v>100</v>
      </c>
      <c r="AC40" s="39">
        <v>100</v>
      </c>
      <c r="AD40" s="51"/>
      <c r="AE40" s="6"/>
      <c r="AF40" s="38"/>
      <c r="AG40" s="40"/>
      <c r="AH40" s="6"/>
      <c r="AI40" s="45"/>
      <c r="AJ40" s="45"/>
    </row>
    <row r="41" spans="1:39">
      <c r="A41" s="1"/>
      <c r="B41" s="1">
        <v>30</v>
      </c>
      <c r="C41" s="81">
        <v>43776.20833333334</v>
      </c>
      <c r="D41" s="81">
        <v>43776.87498842592</v>
      </c>
      <c r="F41" s="28">
        <v>311</v>
      </c>
      <c r="G41" s="38">
        <v>100</v>
      </c>
      <c r="H41" s="39">
        <v>100</v>
      </c>
      <c r="I41" s="39">
        <v>0</v>
      </c>
      <c r="J41" s="39">
        <v>100</v>
      </c>
      <c r="K41" s="39">
        <v>100</v>
      </c>
      <c r="L41" s="39">
        <v>100</v>
      </c>
      <c r="M41" s="39">
        <v>100</v>
      </c>
      <c r="N41" s="39">
        <v>100</v>
      </c>
      <c r="O41" s="39">
        <v>100</v>
      </c>
      <c r="P41" s="39">
        <v>100</v>
      </c>
      <c r="Q41" s="39">
        <v>0</v>
      </c>
      <c r="R41" s="39">
        <v>0</v>
      </c>
      <c r="S41" s="48">
        <v>100</v>
      </c>
      <c r="T41" s="48">
        <v>0</v>
      </c>
      <c r="U41" s="39">
        <v>100</v>
      </c>
      <c r="V41" s="39">
        <v>100</v>
      </c>
      <c r="W41" s="39">
        <v>100</v>
      </c>
      <c r="X41" s="39">
        <v>100</v>
      </c>
      <c r="Y41" s="39">
        <v>0</v>
      </c>
      <c r="Z41" s="39">
        <v>100</v>
      </c>
      <c r="AA41" s="39">
        <v>100</v>
      </c>
      <c r="AB41" s="39">
        <v>100</v>
      </c>
      <c r="AC41" s="39">
        <v>100</v>
      </c>
      <c r="AD41" s="51"/>
      <c r="AE41" s="6"/>
      <c r="AF41" s="38"/>
      <c r="AG41" s="40"/>
      <c r="AH41" s="6"/>
      <c r="AI41" s="45"/>
      <c r="AJ41" s="45"/>
    </row>
    <row r="42" spans="1:39">
      <c r="A42" s="1"/>
      <c r="B42" s="1">
        <v>31</v>
      </c>
      <c r="C42" s="81">
        <v>43777.20833333334</v>
      </c>
      <c r="D42" s="81">
        <v>43777.87498842592</v>
      </c>
      <c r="F42" s="28">
        <v>312</v>
      </c>
      <c r="G42" s="38">
        <v>100</v>
      </c>
      <c r="H42" s="39">
        <v>100</v>
      </c>
      <c r="I42" s="39">
        <v>0</v>
      </c>
      <c r="J42" s="39">
        <v>100</v>
      </c>
      <c r="K42" s="39">
        <v>100</v>
      </c>
      <c r="L42" s="39">
        <v>100</v>
      </c>
      <c r="M42" s="39">
        <v>100</v>
      </c>
      <c r="N42" s="39">
        <v>100</v>
      </c>
      <c r="O42" s="39">
        <v>100</v>
      </c>
      <c r="P42" s="39">
        <v>100</v>
      </c>
      <c r="Q42" s="39">
        <v>0</v>
      </c>
      <c r="R42" s="39">
        <v>0</v>
      </c>
      <c r="S42" s="48">
        <v>100</v>
      </c>
      <c r="T42" s="48">
        <v>0</v>
      </c>
      <c r="U42" s="39">
        <v>100</v>
      </c>
      <c r="V42" s="39">
        <v>100</v>
      </c>
      <c r="W42" s="39">
        <v>100</v>
      </c>
      <c r="X42" s="39">
        <v>100</v>
      </c>
      <c r="Y42" s="39">
        <v>0</v>
      </c>
      <c r="Z42" s="39">
        <v>100</v>
      </c>
      <c r="AA42" s="39">
        <v>100</v>
      </c>
      <c r="AB42" s="39">
        <v>100</v>
      </c>
      <c r="AC42" s="39">
        <v>100</v>
      </c>
      <c r="AD42" s="51"/>
      <c r="AE42" s="6"/>
      <c r="AF42" s="38"/>
      <c r="AG42" s="40"/>
      <c r="AH42" s="6"/>
      <c r="AI42" s="45"/>
      <c r="AJ42" s="45"/>
    </row>
    <row r="43" spans="1:39">
      <c r="A43" s="1"/>
      <c r="B43" s="1">
        <v>32</v>
      </c>
      <c r="C43" s="81">
        <v>43778.20833333334</v>
      </c>
      <c r="D43" s="81">
        <v>43778.87498842592</v>
      </c>
      <c r="F43" s="28">
        <v>313</v>
      </c>
      <c r="G43" s="38">
        <v>100</v>
      </c>
      <c r="H43" s="39">
        <v>100</v>
      </c>
      <c r="I43" s="39">
        <v>0</v>
      </c>
      <c r="J43" s="39">
        <v>100</v>
      </c>
      <c r="K43" s="39">
        <v>100</v>
      </c>
      <c r="L43" s="39">
        <v>100</v>
      </c>
      <c r="M43" s="39">
        <v>100</v>
      </c>
      <c r="N43" s="39">
        <v>100</v>
      </c>
      <c r="O43" s="39">
        <v>94.44598770790699</v>
      </c>
      <c r="P43" s="39">
        <v>100</v>
      </c>
      <c r="Q43" s="39">
        <v>0</v>
      </c>
      <c r="R43" s="39">
        <v>0</v>
      </c>
      <c r="S43" s="48">
        <v>100</v>
      </c>
      <c r="T43" s="48">
        <v>0</v>
      </c>
      <c r="U43" s="39">
        <v>100</v>
      </c>
      <c r="V43" s="39">
        <v>100</v>
      </c>
      <c r="W43" s="39">
        <v>100</v>
      </c>
      <c r="X43" s="39">
        <v>100</v>
      </c>
      <c r="Y43" s="39">
        <v>0</v>
      </c>
      <c r="Z43" s="39">
        <v>100</v>
      </c>
      <c r="AA43" s="39">
        <v>100</v>
      </c>
      <c r="AB43" s="39">
        <v>100</v>
      </c>
      <c r="AC43" s="39">
        <v>100</v>
      </c>
      <c r="AD43" s="51"/>
      <c r="AE43" s="6"/>
      <c r="AF43" s="38"/>
      <c r="AG43" s="40"/>
      <c r="AH43" s="6"/>
      <c r="AI43" s="45"/>
      <c r="AJ43" s="45"/>
    </row>
    <row r="44" spans="1:39">
      <c r="A44" s="1"/>
      <c r="B44" s="1">
        <v>33</v>
      </c>
      <c r="C44" s="81">
        <v>43779.20833333334</v>
      </c>
      <c r="D44" s="81">
        <v>43779.87498842592</v>
      </c>
      <c r="F44" s="28">
        <v>314</v>
      </c>
      <c r="G44" s="38">
        <v>100</v>
      </c>
      <c r="H44" s="39">
        <v>100</v>
      </c>
      <c r="I44" s="39">
        <v>0</v>
      </c>
      <c r="J44" s="39">
        <v>100</v>
      </c>
      <c r="K44" s="39">
        <v>100</v>
      </c>
      <c r="L44" s="39">
        <v>100</v>
      </c>
      <c r="M44" s="39">
        <v>100</v>
      </c>
      <c r="N44" s="39">
        <v>100</v>
      </c>
      <c r="O44" s="39">
        <v>100</v>
      </c>
      <c r="P44" s="39">
        <v>100</v>
      </c>
      <c r="Q44" s="39">
        <v>0</v>
      </c>
      <c r="R44" s="39">
        <v>0</v>
      </c>
      <c r="S44" s="48">
        <v>100</v>
      </c>
      <c r="T44" s="48">
        <v>0</v>
      </c>
      <c r="U44" s="39">
        <v>100</v>
      </c>
      <c r="V44" s="39">
        <v>100</v>
      </c>
      <c r="W44" s="39">
        <v>100</v>
      </c>
      <c r="X44" s="39">
        <v>100</v>
      </c>
      <c r="Y44" s="39">
        <v>0</v>
      </c>
      <c r="Z44" s="39">
        <v>100</v>
      </c>
      <c r="AA44" s="39">
        <v>100</v>
      </c>
      <c r="AB44" s="39">
        <v>100</v>
      </c>
      <c r="AC44" s="39">
        <v>100</v>
      </c>
      <c r="AD44" s="51"/>
      <c r="AE44" s="6"/>
      <c r="AF44" s="38"/>
      <c r="AG44" s="40"/>
      <c r="AH44" s="6"/>
      <c r="AI44" s="45"/>
      <c r="AJ44" s="45"/>
    </row>
    <row r="45" spans="1:39">
      <c r="A45" s="1"/>
      <c r="B45" s="1">
        <v>34</v>
      </c>
      <c r="C45" s="81">
        <v>43780.20833333334</v>
      </c>
      <c r="D45" s="81">
        <v>43780.87498842592</v>
      </c>
      <c r="F45" s="28">
        <v>315</v>
      </c>
      <c r="G45" s="38">
        <v>100</v>
      </c>
      <c r="H45" s="39">
        <v>100</v>
      </c>
      <c r="I45" s="39">
        <v>0</v>
      </c>
      <c r="J45" s="39">
        <v>100</v>
      </c>
      <c r="K45" s="39">
        <v>100</v>
      </c>
      <c r="L45" s="39">
        <v>100</v>
      </c>
      <c r="M45" s="39">
        <v>100</v>
      </c>
      <c r="N45" s="39">
        <v>100</v>
      </c>
      <c r="O45" s="39">
        <v>100</v>
      </c>
      <c r="P45" s="39">
        <v>100</v>
      </c>
      <c r="Q45" s="39">
        <v>0</v>
      </c>
      <c r="R45" s="39">
        <v>0</v>
      </c>
      <c r="S45" s="48">
        <v>100</v>
      </c>
      <c r="T45" s="48">
        <v>0</v>
      </c>
      <c r="U45" s="39">
        <v>100</v>
      </c>
      <c r="V45" s="39">
        <v>100</v>
      </c>
      <c r="W45" s="39">
        <v>100</v>
      </c>
      <c r="X45" s="39">
        <v>100</v>
      </c>
      <c r="Y45" s="39">
        <v>0</v>
      </c>
      <c r="Z45" s="39">
        <v>100</v>
      </c>
      <c r="AA45" s="39">
        <v>100</v>
      </c>
      <c r="AB45" s="39">
        <v>100</v>
      </c>
      <c r="AC45" s="39">
        <v>100</v>
      </c>
      <c r="AD45" s="51"/>
      <c r="AE45" s="6"/>
      <c r="AF45" s="38"/>
      <c r="AG45" s="40"/>
      <c r="AH45" s="6"/>
      <c r="AI45" s="45"/>
      <c r="AJ45" s="45"/>
    </row>
    <row r="46" spans="1:39">
      <c r="A46" s="1"/>
      <c r="B46" s="1">
        <v>35</v>
      </c>
      <c r="C46" s="81">
        <v>43781.20833333334</v>
      </c>
      <c r="D46" s="81">
        <v>43781.87498842592</v>
      </c>
      <c r="F46" s="28">
        <v>316</v>
      </c>
      <c r="G46" s="38">
        <v>100</v>
      </c>
      <c r="H46" s="39">
        <v>100</v>
      </c>
      <c r="I46" s="39">
        <v>0</v>
      </c>
      <c r="J46" s="39">
        <v>100</v>
      </c>
      <c r="K46" s="39">
        <v>100</v>
      </c>
      <c r="L46" s="39">
        <v>100</v>
      </c>
      <c r="M46" s="39">
        <v>100</v>
      </c>
      <c r="N46" s="39">
        <v>100</v>
      </c>
      <c r="O46" s="39">
        <v>100</v>
      </c>
      <c r="P46" s="39">
        <v>100</v>
      </c>
      <c r="Q46" s="39">
        <v>0</v>
      </c>
      <c r="R46" s="39">
        <v>0</v>
      </c>
      <c r="S46" s="48">
        <v>100</v>
      </c>
      <c r="T46" s="48">
        <v>0</v>
      </c>
      <c r="U46" s="39">
        <v>100</v>
      </c>
      <c r="V46" s="39">
        <v>100</v>
      </c>
      <c r="W46" s="39">
        <v>100</v>
      </c>
      <c r="X46" s="39">
        <v>100</v>
      </c>
      <c r="Y46" s="39">
        <v>0</v>
      </c>
      <c r="Z46" s="39">
        <v>100</v>
      </c>
      <c r="AA46" s="39">
        <v>100</v>
      </c>
      <c r="AB46" s="39">
        <v>100</v>
      </c>
      <c r="AC46" s="39">
        <v>100</v>
      </c>
      <c r="AD46" s="51"/>
      <c r="AE46" s="6"/>
      <c r="AF46" s="38"/>
      <c r="AG46" s="40"/>
      <c r="AH46" s="6"/>
      <c r="AI46" s="45"/>
      <c r="AJ46" s="45"/>
    </row>
    <row r="47" spans="1:39">
      <c r="A47" s="1"/>
      <c r="B47" s="1">
        <v>36</v>
      </c>
      <c r="C47" s="81">
        <v>43782.20833333334</v>
      </c>
      <c r="D47" s="81">
        <v>43782.87498842592</v>
      </c>
      <c r="F47" s="28">
        <v>317</v>
      </c>
      <c r="G47" s="38">
        <v>100</v>
      </c>
      <c r="H47" s="39">
        <v>100</v>
      </c>
      <c r="I47" s="39">
        <v>28.282232021945</v>
      </c>
      <c r="J47" s="39">
        <v>100</v>
      </c>
      <c r="K47" s="39">
        <v>100</v>
      </c>
      <c r="L47" s="39">
        <v>100</v>
      </c>
      <c r="M47" s="39">
        <v>100</v>
      </c>
      <c r="N47" s="39">
        <v>100</v>
      </c>
      <c r="O47" s="39">
        <v>100</v>
      </c>
      <c r="P47" s="39">
        <v>100</v>
      </c>
      <c r="Q47" s="39">
        <v>27.658946491198</v>
      </c>
      <c r="R47" s="39">
        <v>27.622486891906</v>
      </c>
      <c r="S47" s="48">
        <v>100</v>
      </c>
      <c r="T47" s="48">
        <v>27.622486891906</v>
      </c>
      <c r="U47" s="39">
        <v>100</v>
      </c>
      <c r="V47" s="39">
        <v>100</v>
      </c>
      <c r="W47" s="39">
        <v>100</v>
      </c>
      <c r="X47" s="39">
        <v>100</v>
      </c>
      <c r="Y47" s="39">
        <v>26.81343102191</v>
      </c>
      <c r="Z47" s="39">
        <v>100</v>
      </c>
      <c r="AA47" s="39">
        <v>100</v>
      </c>
      <c r="AB47" s="39">
        <v>100</v>
      </c>
      <c r="AC47" s="39">
        <v>100</v>
      </c>
      <c r="AD47" s="51"/>
      <c r="AE47" s="6"/>
      <c r="AF47" s="38"/>
      <c r="AG47" s="40"/>
      <c r="AH47" s="6"/>
      <c r="AI47" s="45"/>
      <c r="AJ47" s="45"/>
    </row>
    <row r="48" spans="1:39">
      <c r="A48" s="1"/>
      <c r="B48" s="1">
        <v>37</v>
      </c>
      <c r="C48" s="81">
        <v>43783.20833333334</v>
      </c>
      <c r="D48" s="81">
        <v>43783.87498842592</v>
      </c>
      <c r="F48" s="28">
        <v>318</v>
      </c>
      <c r="G48" s="38">
        <v>100</v>
      </c>
      <c r="H48" s="39">
        <v>100</v>
      </c>
      <c r="I48" s="39">
        <v>100</v>
      </c>
      <c r="J48" s="39">
        <v>100</v>
      </c>
      <c r="K48" s="39">
        <v>100</v>
      </c>
      <c r="L48" s="39">
        <v>100</v>
      </c>
      <c r="M48" s="39">
        <v>100</v>
      </c>
      <c r="N48" s="39">
        <v>100</v>
      </c>
      <c r="O48" s="39">
        <v>100</v>
      </c>
      <c r="P48" s="39">
        <v>100</v>
      </c>
      <c r="Q48" s="39">
        <v>100</v>
      </c>
      <c r="R48" s="39">
        <v>100</v>
      </c>
      <c r="S48" s="48">
        <v>100</v>
      </c>
      <c r="T48" s="48">
        <v>100</v>
      </c>
      <c r="U48" s="39">
        <v>100</v>
      </c>
      <c r="V48" s="39">
        <v>100</v>
      </c>
      <c r="W48" s="39">
        <v>100</v>
      </c>
      <c r="X48" s="39">
        <v>100</v>
      </c>
      <c r="Y48" s="39">
        <v>100</v>
      </c>
      <c r="Z48" s="39">
        <v>100</v>
      </c>
      <c r="AA48" s="39">
        <v>100</v>
      </c>
      <c r="AB48" s="39">
        <v>100</v>
      </c>
      <c r="AC48" s="39">
        <v>100</v>
      </c>
      <c r="AD48" s="51"/>
      <c r="AE48" s="6"/>
      <c r="AF48" s="38"/>
      <c r="AG48" s="40"/>
      <c r="AH48" s="6"/>
      <c r="AI48" s="45"/>
      <c r="AJ48" s="45"/>
    </row>
    <row r="49" spans="1:39">
      <c r="A49" s="1"/>
      <c r="B49" s="1">
        <v>38</v>
      </c>
      <c r="C49" s="81">
        <v>43784.20833333334</v>
      </c>
      <c r="D49" s="81">
        <v>43784.87498842592</v>
      </c>
      <c r="F49" s="28">
        <v>319</v>
      </c>
      <c r="G49" s="38">
        <v>100</v>
      </c>
      <c r="H49" s="39">
        <v>100</v>
      </c>
      <c r="I49" s="39">
        <v>100</v>
      </c>
      <c r="J49" s="39">
        <v>100</v>
      </c>
      <c r="K49" s="39">
        <v>100</v>
      </c>
      <c r="L49" s="39">
        <v>100</v>
      </c>
      <c r="M49" s="39">
        <v>100</v>
      </c>
      <c r="N49" s="39">
        <v>100</v>
      </c>
      <c r="O49" s="39">
        <v>100</v>
      </c>
      <c r="P49" s="39">
        <v>100</v>
      </c>
      <c r="Q49" s="39">
        <v>100</v>
      </c>
      <c r="R49" s="39">
        <v>100</v>
      </c>
      <c r="S49" s="48">
        <v>100</v>
      </c>
      <c r="T49" s="48">
        <v>100</v>
      </c>
      <c r="U49" s="39">
        <v>100</v>
      </c>
      <c r="V49" s="39">
        <v>100</v>
      </c>
      <c r="W49" s="39">
        <v>100</v>
      </c>
      <c r="X49" s="39">
        <v>100</v>
      </c>
      <c r="Y49" s="39">
        <v>100</v>
      </c>
      <c r="Z49" s="39">
        <v>100</v>
      </c>
      <c r="AA49" s="39">
        <v>100</v>
      </c>
      <c r="AB49" s="39">
        <v>100</v>
      </c>
      <c r="AC49" s="39">
        <v>100</v>
      </c>
      <c r="AD49" s="51"/>
      <c r="AE49" s="6"/>
      <c r="AF49" s="38"/>
      <c r="AG49" s="40"/>
      <c r="AH49" s="6"/>
      <c r="AI49" s="45"/>
      <c r="AJ49" s="45"/>
    </row>
    <row r="50" spans="1:39">
      <c r="A50" s="1"/>
      <c r="B50" s="1">
        <v>39</v>
      </c>
      <c r="C50" s="81">
        <v>43785.20833333334</v>
      </c>
      <c r="D50" s="81">
        <v>43785.87498842592</v>
      </c>
      <c r="F50" s="28">
        <v>320</v>
      </c>
      <c r="G50" s="38">
        <v>100</v>
      </c>
      <c r="H50" s="39">
        <v>100</v>
      </c>
      <c r="I50" s="39">
        <v>100</v>
      </c>
      <c r="J50" s="39">
        <v>100</v>
      </c>
      <c r="K50" s="39">
        <v>100</v>
      </c>
      <c r="L50" s="39">
        <v>100</v>
      </c>
      <c r="M50" s="39">
        <v>100</v>
      </c>
      <c r="N50" s="39">
        <v>100</v>
      </c>
      <c r="O50" s="39">
        <v>100</v>
      </c>
      <c r="P50" s="39">
        <v>100</v>
      </c>
      <c r="Q50" s="39">
        <v>100</v>
      </c>
      <c r="R50" s="39">
        <v>100</v>
      </c>
      <c r="S50" s="48">
        <v>100</v>
      </c>
      <c r="T50" s="48">
        <v>100</v>
      </c>
      <c r="U50" s="39">
        <v>100</v>
      </c>
      <c r="V50" s="39">
        <v>100</v>
      </c>
      <c r="W50" s="39">
        <v>100</v>
      </c>
      <c r="X50" s="39">
        <v>100</v>
      </c>
      <c r="Y50" s="39">
        <v>99.81422966075201</v>
      </c>
      <c r="Z50" s="39">
        <v>100</v>
      </c>
      <c r="AA50" s="39">
        <v>100</v>
      </c>
      <c r="AB50" s="39">
        <v>100</v>
      </c>
      <c r="AC50" s="39">
        <v>100</v>
      </c>
      <c r="AD50" s="51"/>
      <c r="AE50" s="6"/>
      <c r="AF50" s="38"/>
      <c r="AG50" s="40"/>
      <c r="AH50" s="6"/>
      <c r="AI50" s="45"/>
      <c r="AJ50" s="45"/>
    </row>
    <row r="51" spans="1:39">
      <c r="A51" s="1"/>
      <c r="B51" s="1">
        <v>40</v>
      </c>
      <c r="C51" s="81">
        <v>43786.20833333334</v>
      </c>
      <c r="D51" s="81">
        <v>43786.87498842592</v>
      </c>
      <c r="F51" s="28">
        <v>321</v>
      </c>
      <c r="G51" s="38">
        <v>100</v>
      </c>
      <c r="H51" s="39">
        <v>100</v>
      </c>
      <c r="I51" s="39">
        <v>100</v>
      </c>
      <c r="J51" s="39">
        <v>100</v>
      </c>
      <c r="K51" s="39">
        <v>100</v>
      </c>
      <c r="L51" s="39">
        <v>100</v>
      </c>
      <c r="M51" s="39">
        <v>100</v>
      </c>
      <c r="N51" s="39">
        <v>100</v>
      </c>
      <c r="O51" s="39">
        <v>100</v>
      </c>
      <c r="P51" s="39">
        <v>100</v>
      </c>
      <c r="Q51" s="39">
        <v>100</v>
      </c>
      <c r="R51" s="39">
        <v>100</v>
      </c>
      <c r="S51" s="48">
        <v>100</v>
      </c>
      <c r="T51" s="39">
        <v>100</v>
      </c>
      <c r="U51" s="39">
        <v>100</v>
      </c>
      <c r="V51" s="39">
        <v>100</v>
      </c>
      <c r="W51" s="39">
        <v>100</v>
      </c>
      <c r="X51" s="39">
        <v>100</v>
      </c>
      <c r="Y51" s="39">
        <v>96.95649154484499</v>
      </c>
      <c r="Z51" s="39">
        <v>100</v>
      </c>
      <c r="AA51" s="39">
        <v>100</v>
      </c>
      <c r="AB51" s="39">
        <v>100</v>
      </c>
      <c r="AC51" s="39">
        <v>100</v>
      </c>
      <c r="AD51" s="51"/>
      <c r="AE51" s="6"/>
      <c r="AF51" s="38"/>
      <c r="AG51" s="40"/>
      <c r="AH51" s="6"/>
      <c r="AI51" s="45"/>
      <c r="AJ51" s="45"/>
    </row>
    <row r="52" spans="1:39">
      <c r="A52" s="1"/>
      <c r="B52" s="1">
        <v>41</v>
      </c>
      <c r="C52" s="81">
        <v>43787.20833333334</v>
      </c>
      <c r="D52" s="81">
        <v>43787.87498842592</v>
      </c>
      <c r="F52" s="28">
        <v>322</v>
      </c>
      <c r="G52" s="38">
        <v>100</v>
      </c>
      <c r="H52" s="39">
        <v>100</v>
      </c>
      <c r="I52" s="39">
        <v>100</v>
      </c>
      <c r="J52" s="39">
        <v>100</v>
      </c>
      <c r="K52" s="39">
        <v>100</v>
      </c>
      <c r="L52" s="39">
        <v>100</v>
      </c>
      <c r="M52" s="39">
        <v>100</v>
      </c>
      <c r="N52" s="39">
        <v>100</v>
      </c>
      <c r="O52" s="39">
        <v>100</v>
      </c>
      <c r="P52" s="39">
        <v>100</v>
      </c>
      <c r="Q52" s="39">
        <v>100</v>
      </c>
      <c r="R52" s="39">
        <v>100</v>
      </c>
      <c r="S52" s="48">
        <v>100</v>
      </c>
      <c r="T52" s="39">
        <v>100</v>
      </c>
      <c r="U52" s="39">
        <v>100</v>
      </c>
      <c r="V52" s="39">
        <v>100</v>
      </c>
      <c r="W52" s="39">
        <v>100</v>
      </c>
      <c r="X52" s="39">
        <v>100</v>
      </c>
      <c r="Y52" s="39">
        <v>100</v>
      </c>
      <c r="Z52" s="39">
        <v>100</v>
      </c>
      <c r="AA52" s="39">
        <v>100</v>
      </c>
      <c r="AB52" s="39">
        <v>100</v>
      </c>
      <c r="AC52" s="39">
        <v>100</v>
      </c>
      <c r="AD52" s="51"/>
      <c r="AE52" s="6"/>
      <c r="AF52" s="38"/>
      <c r="AG52" s="40"/>
      <c r="AH52" s="6"/>
      <c r="AI52" s="45"/>
      <c r="AJ52" s="45"/>
    </row>
    <row r="53" spans="1:39">
      <c r="A53" s="1"/>
      <c r="F53" s="28"/>
      <c r="G53" s="38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48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51"/>
      <c r="AE53" s="6"/>
      <c r="AF53" s="38"/>
      <c r="AG53" s="40"/>
      <c r="AH53" s="6"/>
      <c r="AI53" s="45"/>
      <c r="AJ53" s="45"/>
    </row>
    <row r="54" spans="1:39">
      <c r="A54" s="1"/>
      <c r="F54" s="28"/>
      <c r="G54" s="38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48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51"/>
      <c r="AE54" s="6"/>
      <c r="AF54" s="38"/>
      <c r="AG54" s="40"/>
      <c r="AH54" s="6"/>
      <c r="AI54" s="45"/>
      <c r="AJ54" s="45"/>
    </row>
    <row r="55" spans="1:39">
      <c r="A55" s="1"/>
      <c r="F55" s="28"/>
      <c r="G55" s="38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48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51"/>
      <c r="AE55" s="6"/>
      <c r="AF55" s="38"/>
      <c r="AG55" s="40"/>
      <c r="AH55" s="6"/>
      <c r="AI55" s="45"/>
      <c r="AJ55" s="45"/>
    </row>
    <row r="56" spans="1:39">
      <c r="A56" s="1"/>
      <c r="F56" s="28"/>
      <c r="G56" s="38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48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51"/>
      <c r="AE56" s="6"/>
      <c r="AF56" s="38"/>
      <c r="AG56" s="40"/>
      <c r="AH56" s="6"/>
      <c r="AI56" s="45"/>
      <c r="AJ56" s="45"/>
    </row>
    <row r="57" spans="1:39">
      <c r="A57" s="1"/>
      <c r="F57" s="28"/>
      <c r="G57" s="38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48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51"/>
      <c r="AE57" s="6"/>
      <c r="AF57" s="38"/>
      <c r="AG57" s="40"/>
      <c r="AH57" s="6"/>
      <c r="AI57" s="45"/>
      <c r="AJ57" s="45"/>
    </row>
    <row r="58" spans="1:39">
      <c r="A58" s="1"/>
      <c r="F58" s="28"/>
      <c r="G58" s="38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48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51"/>
      <c r="AE58" s="6"/>
      <c r="AF58" s="38"/>
      <c r="AG58" s="40"/>
      <c r="AH58" s="6"/>
      <c r="AI58" s="45"/>
      <c r="AJ58" s="45"/>
    </row>
    <row r="59" spans="1:39">
      <c r="A59" s="1"/>
      <c r="F59" s="28"/>
      <c r="G59" s="38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48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51"/>
      <c r="AE59" s="6"/>
      <c r="AF59" s="38"/>
      <c r="AG59" s="40"/>
      <c r="AH59" s="6"/>
      <c r="AI59" s="45"/>
      <c r="AJ59" s="45"/>
    </row>
    <row r="60" spans="1:39">
      <c r="A60" s="1"/>
      <c r="F60" s="28"/>
      <c r="G60" s="38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48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51"/>
      <c r="AE60" s="6"/>
      <c r="AF60" s="38"/>
      <c r="AG60" s="40"/>
      <c r="AH60" s="6"/>
      <c r="AI60" s="45"/>
      <c r="AJ60" s="45"/>
    </row>
    <row r="61" spans="1:39">
      <c r="A61" s="1"/>
      <c r="F61" s="28"/>
      <c r="G61" s="38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48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51"/>
      <c r="AE61" s="6"/>
      <c r="AF61" s="38"/>
      <c r="AG61" s="40"/>
      <c r="AH61" s="6"/>
      <c r="AI61" s="45"/>
      <c r="AJ61" s="45"/>
    </row>
    <row r="62" spans="1:39" customHeight="1" ht="15.75">
      <c r="A62" s="1" t="s">
        <v>92</v>
      </c>
      <c r="F62" s="29"/>
      <c r="G62" s="41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9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52"/>
      <c r="AE62" s="6"/>
      <c r="AF62" s="41"/>
      <c r="AG62" s="43"/>
      <c r="AH62" s="6"/>
      <c r="AI62" s="46"/>
      <c r="AJ62" s="46"/>
    </row>
    <row r="63" spans="1:39">
      <c r="A63" s="1" t="s">
        <v>93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M5:N5"/>
    <mergeCell ref="P5:Q5"/>
  </mergeCells>
  <conditionalFormatting sqref="I5">
    <cfRule type="cellIs" dxfId="0" priority="1" operator="equal">
      <formula>"YES"</formula>
    </cfRule>
  </conditionalFormatting>
  <conditionalFormatting sqref="G11">
    <cfRule type="cellIs" dxfId="1" priority="2" operator="lessThan">
      <formula>G$9</formula>
    </cfRule>
  </conditionalFormatting>
  <conditionalFormatting sqref="G12">
    <cfRule type="cellIs" dxfId="1" priority="3" operator="lessThan">
      <formula>G$9</formula>
    </cfRule>
  </conditionalFormatting>
  <conditionalFormatting sqref="G13">
    <cfRule type="cellIs" dxfId="1" priority="4" operator="lessThan">
      <formula>G$9</formula>
    </cfRule>
  </conditionalFormatting>
  <conditionalFormatting sqref="G14">
    <cfRule type="cellIs" dxfId="1" priority="5" operator="lessThan">
      <formula>G$9</formula>
    </cfRule>
  </conditionalFormatting>
  <conditionalFormatting sqref="G15">
    <cfRule type="cellIs" dxfId="1" priority="6" operator="lessThan">
      <formula>G$9</formula>
    </cfRule>
  </conditionalFormatting>
  <conditionalFormatting sqref="G16">
    <cfRule type="cellIs" dxfId="1" priority="7" operator="lessThan">
      <formula>G$9</formula>
    </cfRule>
  </conditionalFormatting>
  <conditionalFormatting sqref="G17">
    <cfRule type="cellIs" dxfId="1" priority="8" operator="lessThan">
      <formula>G$9</formula>
    </cfRule>
  </conditionalFormatting>
  <conditionalFormatting sqref="G18">
    <cfRule type="cellIs" dxfId="1" priority="9" operator="lessThan">
      <formula>G$9</formula>
    </cfRule>
  </conditionalFormatting>
  <conditionalFormatting sqref="G19">
    <cfRule type="cellIs" dxfId="1" priority="10" operator="lessThan">
      <formula>G$9</formula>
    </cfRule>
  </conditionalFormatting>
  <conditionalFormatting sqref="G20">
    <cfRule type="cellIs" dxfId="1" priority="11" operator="lessThan">
      <formula>G$9</formula>
    </cfRule>
  </conditionalFormatting>
  <conditionalFormatting sqref="G21">
    <cfRule type="cellIs" dxfId="1" priority="12" operator="lessThan">
      <formula>G$9</formula>
    </cfRule>
  </conditionalFormatting>
  <conditionalFormatting sqref="G22">
    <cfRule type="cellIs" dxfId="1" priority="13" operator="lessThan">
      <formula>G$9</formula>
    </cfRule>
  </conditionalFormatting>
  <conditionalFormatting sqref="G23">
    <cfRule type="cellIs" dxfId="1" priority="14" operator="lessThan">
      <formula>G$9</formula>
    </cfRule>
  </conditionalFormatting>
  <conditionalFormatting sqref="G24">
    <cfRule type="cellIs" dxfId="1" priority="15" operator="lessThan">
      <formula>G$9</formula>
    </cfRule>
  </conditionalFormatting>
  <conditionalFormatting sqref="G25">
    <cfRule type="cellIs" dxfId="1" priority="16" operator="lessThan">
      <formula>G$9</formula>
    </cfRule>
  </conditionalFormatting>
  <conditionalFormatting sqref="G26">
    <cfRule type="cellIs" dxfId="1" priority="17" operator="lessThan">
      <formula>G$9</formula>
    </cfRule>
  </conditionalFormatting>
  <conditionalFormatting sqref="G27">
    <cfRule type="cellIs" dxfId="1" priority="18" operator="lessThan">
      <formula>G$9</formula>
    </cfRule>
  </conditionalFormatting>
  <conditionalFormatting sqref="G28">
    <cfRule type="cellIs" dxfId="1" priority="19" operator="lessThan">
      <formula>G$9</formula>
    </cfRule>
  </conditionalFormatting>
  <conditionalFormatting sqref="G29">
    <cfRule type="cellIs" dxfId="1" priority="20" operator="lessThan">
      <formula>G$9</formula>
    </cfRule>
  </conditionalFormatting>
  <conditionalFormatting sqref="G30">
    <cfRule type="cellIs" dxfId="1" priority="21" operator="lessThan">
      <formula>G$9</formula>
    </cfRule>
  </conditionalFormatting>
  <conditionalFormatting sqref="G31">
    <cfRule type="cellIs" dxfId="1" priority="22" operator="lessThan">
      <formula>G$9</formula>
    </cfRule>
  </conditionalFormatting>
  <conditionalFormatting sqref="G32">
    <cfRule type="cellIs" dxfId="1" priority="23" operator="lessThan">
      <formula>G$9</formula>
    </cfRule>
  </conditionalFormatting>
  <conditionalFormatting sqref="G33">
    <cfRule type="cellIs" dxfId="1" priority="24" operator="lessThan">
      <formula>G$9</formula>
    </cfRule>
  </conditionalFormatting>
  <conditionalFormatting sqref="G34">
    <cfRule type="cellIs" dxfId="1" priority="25" operator="lessThan">
      <formula>G$9</formula>
    </cfRule>
  </conditionalFormatting>
  <conditionalFormatting sqref="G35">
    <cfRule type="cellIs" dxfId="1" priority="26" operator="lessThan">
      <formula>G$9</formula>
    </cfRule>
  </conditionalFormatting>
  <conditionalFormatting sqref="G36">
    <cfRule type="cellIs" dxfId="1" priority="27" operator="lessThan">
      <formula>G$9</formula>
    </cfRule>
  </conditionalFormatting>
  <conditionalFormatting sqref="G37">
    <cfRule type="cellIs" dxfId="1" priority="28" operator="lessThan">
      <formula>G$9</formula>
    </cfRule>
  </conditionalFormatting>
  <conditionalFormatting sqref="G38">
    <cfRule type="cellIs" dxfId="1" priority="29" operator="lessThan">
      <formula>G$9</formula>
    </cfRule>
  </conditionalFormatting>
  <conditionalFormatting sqref="G39">
    <cfRule type="cellIs" dxfId="1" priority="30" operator="lessThan">
      <formula>G$9</formula>
    </cfRule>
  </conditionalFormatting>
  <conditionalFormatting sqref="G40">
    <cfRule type="cellIs" dxfId="1" priority="31" operator="lessThan">
      <formula>G$9</formula>
    </cfRule>
  </conditionalFormatting>
  <conditionalFormatting sqref="G41">
    <cfRule type="cellIs" dxfId="1" priority="32" operator="lessThan">
      <formula>G$9</formula>
    </cfRule>
  </conditionalFormatting>
  <conditionalFormatting sqref="G42">
    <cfRule type="cellIs" dxfId="1" priority="33" operator="lessThan">
      <formula>G$9</formula>
    </cfRule>
  </conditionalFormatting>
  <conditionalFormatting sqref="G43">
    <cfRule type="cellIs" dxfId="1" priority="34" operator="lessThan">
      <formula>G$9</formula>
    </cfRule>
  </conditionalFormatting>
  <conditionalFormatting sqref="G44">
    <cfRule type="cellIs" dxfId="1" priority="35" operator="lessThan">
      <formula>G$9</formula>
    </cfRule>
  </conditionalFormatting>
  <conditionalFormatting sqref="G45">
    <cfRule type="cellIs" dxfId="1" priority="36" operator="lessThan">
      <formula>G$9</formula>
    </cfRule>
  </conditionalFormatting>
  <conditionalFormatting sqref="G46">
    <cfRule type="cellIs" dxfId="1" priority="37" operator="lessThan">
      <formula>G$9</formula>
    </cfRule>
  </conditionalFormatting>
  <conditionalFormatting sqref="G47">
    <cfRule type="cellIs" dxfId="1" priority="38" operator="lessThan">
      <formula>G$9</formula>
    </cfRule>
  </conditionalFormatting>
  <conditionalFormatting sqref="G48">
    <cfRule type="cellIs" dxfId="1" priority="39" operator="lessThan">
      <formula>G$9</formula>
    </cfRule>
  </conditionalFormatting>
  <conditionalFormatting sqref="G49">
    <cfRule type="cellIs" dxfId="1" priority="40" operator="lessThan">
      <formula>G$9</formula>
    </cfRule>
  </conditionalFormatting>
  <conditionalFormatting sqref="G50">
    <cfRule type="cellIs" dxfId="1" priority="41" operator="lessThan">
      <formula>G$9</formula>
    </cfRule>
  </conditionalFormatting>
  <conditionalFormatting sqref="G51">
    <cfRule type="cellIs" dxfId="1" priority="42" operator="lessThan">
      <formula>G$9</formula>
    </cfRule>
  </conditionalFormatting>
  <conditionalFormatting sqref="G52">
    <cfRule type="cellIs" dxfId="1" priority="43" operator="lessThan">
      <formula>G$9</formula>
    </cfRule>
  </conditionalFormatting>
  <conditionalFormatting sqref="G53">
    <cfRule type="cellIs" dxfId="1" priority="44" operator="lessThan">
      <formula>G$9</formula>
    </cfRule>
  </conditionalFormatting>
  <conditionalFormatting sqref="G54">
    <cfRule type="cellIs" dxfId="1" priority="45" operator="lessThan">
      <formula>G$9</formula>
    </cfRule>
  </conditionalFormatting>
  <conditionalFormatting sqref="G55">
    <cfRule type="cellIs" dxfId="1" priority="46" operator="lessThan">
      <formula>G$9</formula>
    </cfRule>
  </conditionalFormatting>
  <conditionalFormatting sqref="G56">
    <cfRule type="cellIs" dxfId="1" priority="47" operator="lessThan">
      <formula>G$9</formula>
    </cfRule>
  </conditionalFormatting>
  <conditionalFormatting sqref="G57">
    <cfRule type="cellIs" dxfId="1" priority="48" operator="lessThan">
      <formula>G$9</formula>
    </cfRule>
  </conditionalFormatting>
  <conditionalFormatting sqref="G58">
    <cfRule type="cellIs" dxfId="1" priority="49" operator="lessThan">
      <formula>G$9</formula>
    </cfRule>
  </conditionalFormatting>
  <conditionalFormatting sqref="G59">
    <cfRule type="cellIs" dxfId="1" priority="50" operator="lessThan">
      <formula>G$9</formula>
    </cfRule>
  </conditionalFormatting>
  <conditionalFormatting sqref="G60">
    <cfRule type="cellIs" dxfId="1" priority="51" operator="lessThan">
      <formula>G$9</formula>
    </cfRule>
  </conditionalFormatting>
  <conditionalFormatting sqref="G61">
    <cfRule type="cellIs" dxfId="1" priority="52" operator="lessThan">
      <formula>G$9</formula>
    </cfRule>
  </conditionalFormatting>
  <conditionalFormatting sqref="G62">
    <cfRule type="cellIs" dxfId="1" priority="53" operator="lessThan">
      <formula>G$9</formula>
    </cfRule>
  </conditionalFormatting>
  <conditionalFormatting sqref="H11">
    <cfRule type="cellIs" dxfId="1" priority="54" operator="lessThan">
      <formula>G$9</formula>
    </cfRule>
  </conditionalFormatting>
  <conditionalFormatting sqref="H12">
    <cfRule type="cellIs" dxfId="1" priority="55" operator="lessThan">
      <formula>G$9</formula>
    </cfRule>
  </conditionalFormatting>
  <conditionalFormatting sqref="H13">
    <cfRule type="cellIs" dxfId="1" priority="56" operator="lessThan">
      <formula>G$9</formula>
    </cfRule>
  </conditionalFormatting>
  <conditionalFormatting sqref="H14">
    <cfRule type="cellIs" dxfId="1" priority="57" operator="lessThan">
      <formula>G$9</formula>
    </cfRule>
  </conditionalFormatting>
  <conditionalFormatting sqref="H15">
    <cfRule type="cellIs" dxfId="1" priority="58" operator="lessThan">
      <formula>G$9</formula>
    </cfRule>
  </conditionalFormatting>
  <conditionalFormatting sqref="H16">
    <cfRule type="cellIs" dxfId="1" priority="59" operator="lessThan">
      <formula>G$9</formula>
    </cfRule>
  </conditionalFormatting>
  <conditionalFormatting sqref="H17">
    <cfRule type="cellIs" dxfId="1" priority="60" operator="lessThan">
      <formula>G$9</formula>
    </cfRule>
  </conditionalFormatting>
  <conditionalFormatting sqref="H18">
    <cfRule type="cellIs" dxfId="1" priority="61" operator="lessThan">
      <formula>G$9</formula>
    </cfRule>
  </conditionalFormatting>
  <conditionalFormatting sqref="H19">
    <cfRule type="cellIs" dxfId="1" priority="62" operator="lessThan">
      <formula>G$9</formula>
    </cfRule>
  </conditionalFormatting>
  <conditionalFormatting sqref="H20">
    <cfRule type="cellIs" dxfId="1" priority="63" operator="lessThan">
      <formula>G$9</formula>
    </cfRule>
  </conditionalFormatting>
  <conditionalFormatting sqref="H21">
    <cfRule type="cellIs" dxfId="1" priority="64" operator="lessThan">
      <formula>G$9</formula>
    </cfRule>
  </conditionalFormatting>
  <conditionalFormatting sqref="H22">
    <cfRule type="cellIs" dxfId="1" priority="65" operator="lessThan">
      <formula>G$9</formula>
    </cfRule>
  </conditionalFormatting>
  <conditionalFormatting sqref="H23">
    <cfRule type="cellIs" dxfId="1" priority="66" operator="lessThan">
      <formula>G$9</formula>
    </cfRule>
  </conditionalFormatting>
  <conditionalFormatting sqref="H24">
    <cfRule type="cellIs" dxfId="1" priority="67" operator="lessThan">
      <formula>G$9</formula>
    </cfRule>
  </conditionalFormatting>
  <conditionalFormatting sqref="H25">
    <cfRule type="cellIs" dxfId="1" priority="68" operator="lessThan">
      <formula>G$9</formula>
    </cfRule>
  </conditionalFormatting>
  <conditionalFormatting sqref="H26">
    <cfRule type="cellIs" dxfId="1" priority="69" operator="lessThan">
      <formula>G$9</formula>
    </cfRule>
  </conditionalFormatting>
  <conditionalFormatting sqref="H27">
    <cfRule type="cellIs" dxfId="1" priority="70" operator="lessThan">
      <formula>G$9</formula>
    </cfRule>
  </conditionalFormatting>
  <conditionalFormatting sqref="H28">
    <cfRule type="cellIs" dxfId="1" priority="71" operator="lessThan">
      <formula>G$9</formula>
    </cfRule>
  </conditionalFormatting>
  <conditionalFormatting sqref="H29">
    <cfRule type="cellIs" dxfId="1" priority="72" operator="lessThan">
      <formula>G$9</formula>
    </cfRule>
  </conditionalFormatting>
  <conditionalFormatting sqref="H30">
    <cfRule type="cellIs" dxfId="1" priority="73" operator="lessThan">
      <formula>G$9</formula>
    </cfRule>
  </conditionalFormatting>
  <conditionalFormatting sqref="H31">
    <cfRule type="cellIs" dxfId="1" priority="74" operator="lessThan">
      <formula>G$9</formula>
    </cfRule>
  </conditionalFormatting>
  <conditionalFormatting sqref="H32">
    <cfRule type="cellIs" dxfId="1" priority="75" operator="lessThan">
      <formula>G$9</formula>
    </cfRule>
  </conditionalFormatting>
  <conditionalFormatting sqref="H33">
    <cfRule type="cellIs" dxfId="1" priority="76" operator="lessThan">
      <formula>G$9</formula>
    </cfRule>
  </conditionalFormatting>
  <conditionalFormatting sqref="H34">
    <cfRule type="cellIs" dxfId="1" priority="77" operator="lessThan">
      <formula>G$9</formula>
    </cfRule>
  </conditionalFormatting>
  <conditionalFormatting sqref="H35">
    <cfRule type="cellIs" dxfId="1" priority="78" operator="lessThan">
      <formula>G$9</formula>
    </cfRule>
  </conditionalFormatting>
  <conditionalFormatting sqref="H36">
    <cfRule type="cellIs" dxfId="1" priority="79" operator="lessThan">
      <formula>G$9</formula>
    </cfRule>
  </conditionalFormatting>
  <conditionalFormatting sqref="H37">
    <cfRule type="cellIs" dxfId="1" priority="80" operator="lessThan">
      <formula>G$9</formula>
    </cfRule>
  </conditionalFormatting>
  <conditionalFormatting sqref="H38">
    <cfRule type="cellIs" dxfId="1" priority="81" operator="lessThan">
      <formula>G$9</formula>
    </cfRule>
  </conditionalFormatting>
  <conditionalFormatting sqref="H39">
    <cfRule type="cellIs" dxfId="1" priority="82" operator="lessThan">
      <formula>G$9</formula>
    </cfRule>
  </conditionalFormatting>
  <conditionalFormatting sqref="H40">
    <cfRule type="cellIs" dxfId="1" priority="83" operator="lessThan">
      <formula>G$9</formula>
    </cfRule>
  </conditionalFormatting>
  <conditionalFormatting sqref="H41">
    <cfRule type="cellIs" dxfId="1" priority="84" operator="lessThan">
      <formula>G$9</formula>
    </cfRule>
  </conditionalFormatting>
  <conditionalFormatting sqref="H42">
    <cfRule type="cellIs" dxfId="1" priority="85" operator="lessThan">
      <formula>G$9</formula>
    </cfRule>
  </conditionalFormatting>
  <conditionalFormatting sqref="H43">
    <cfRule type="cellIs" dxfId="1" priority="86" operator="lessThan">
      <formula>G$9</formula>
    </cfRule>
  </conditionalFormatting>
  <conditionalFormatting sqref="H44">
    <cfRule type="cellIs" dxfId="1" priority="87" operator="lessThan">
      <formula>G$9</formula>
    </cfRule>
  </conditionalFormatting>
  <conditionalFormatting sqref="H45">
    <cfRule type="cellIs" dxfId="1" priority="88" operator="lessThan">
      <formula>G$9</formula>
    </cfRule>
  </conditionalFormatting>
  <conditionalFormatting sqref="H46">
    <cfRule type="cellIs" dxfId="1" priority="89" operator="lessThan">
      <formula>G$9</formula>
    </cfRule>
  </conditionalFormatting>
  <conditionalFormatting sqref="H47">
    <cfRule type="cellIs" dxfId="1" priority="90" operator="lessThan">
      <formula>G$9</formula>
    </cfRule>
  </conditionalFormatting>
  <conditionalFormatting sqref="H48">
    <cfRule type="cellIs" dxfId="1" priority="91" operator="lessThan">
      <formula>G$9</formula>
    </cfRule>
  </conditionalFormatting>
  <conditionalFormatting sqref="H49">
    <cfRule type="cellIs" dxfId="1" priority="92" operator="lessThan">
      <formula>G$9</formula>
    </cfRule>
  </conditionalFormatting>
  <conditionalFormatting sqref="H50">
    <cfRule type="cellIs" dxfId="1" priority="93" operator="lessThan">
      <formula>G$9</formula>
    </cfRule>
  </conditionalFormatting>
  <conditionalFormatting sqref="H51">
    <cfRule type="cellIs" dxfId="1" priority="94" operator="lessThan">
      <formula>G$9</formula>
    </cfRule>
  </conditionalFormatting>
  <conditionalFormatting sqref="H52">
    <cfRule type="cellIs" dxfId="1" priority="95" operator="lessThan">
      <formula>G$9</formula>
    </cfRule>
  </conditionalFormatting>
  <conditionalFormatting sqref="H53">
    <cfRule type="cellIs" dxfId="1" priority="96" operator="lessThan">
      <formula>G$9</formula>
    </cfRule>
  </conditionalFormatting>
  <conditionalFormatting sqref="H54">
    <cfRule type="cellIs" dxfId="1" priority="97" operator="lessThan">
      <formula>G$9</formula>
    </cfRule>
  </conditionalFormatting>
  <conditionalFormatting sqref="H55">
    <cfRule type="cellIs" dxfId="1" priority="98" operator="lessThan">
      <formula>G$9</formula>
    </cfRule>
  </conditionalFormatting>
  <conditionalFormatting sqref="H56">
    <cfRule type="cellIs" dxfId="1" priority="99" operator="lessThan">
      <formula>G$9</formula>
    </cfRule>
  </conditionalFormatting>
  <conditionalFormatting sqref="H57">
    <cfRule type="cellIs" dxfId="1" priority="100" operator="lessThan">
      <formula>G$9</formula>
    </cfRule>
  </conditionalFormatting>
  <conditionalFormatting sqref="H58">
    <cfRule type="cellIs" dxfId="1" priority="101" operator="lessThan">
      <formula>G$9</formula>
    </cfRule>
  </conditionalFormatting>
  <conditionalFormatting sqref="H59">
    <cfRule type="cellIs" dxfId="1" priority="102" operator="lessThan">
      <formula>G$9</formula>
    </cfRule>
  </conditionalFormatting>
  <conditionalFormatting sqref="H60">
    <cfRule type="cellIs" dxfId="1" priority="103" operator="lessThan">
      <formula>G$9</formula>
    </cfRule>
  </conditionalFormatting>
  <conditionalFormatting sqref="H61">
    <cfRule type="cellIs" dxfId="1" priority="104" operator="lessThan">
      <formula>G$9</formula>
    </cfRule>
  </conditionalFormatting>
  <conditionalFormatting sqref="H62">
    <cfRule type="cellIs" dxfId="1" priority="105" operator="lessThan">
      <formula>G$9</formula>
    </cfRule>
  </conditionalFormatting>
  <conditionalFormatting sqref="I11">
    <cfRule type="cellIs" dxfId="1" priority="106" operator="lessThan">
      <formula>G$9</formula>
    </cfRule>
  </conditionalFormatting>
  <conditionalFormatting sqref="I12">
    <cfRule type="cellIs" dxfId="1" priority="107" operator="lessThan">
      <formula>G$9</formula>
    </cfRule>
  </conditionalFormatting>
  <conditionalFormatting sqref="I13">
    <cfRule type="cellIs" dxfId="1" priority="108" operator="lessThan">
      <formula>G$9</formula>
    </cfRule>
  </conditionalFormatting>
  <conditionalFormatting sqref="I14">
    <cfRule type="cellIs" dxfId="1" priority="109" operator="lessThan">
      <formula>G$9</formula>
    </cfRule>
  </conditionalFormatting>
  <conditionalFormatting sqref="I15">
    <cfRule type="cellIs" dxfId="1" priority="110" operator="lessThan">
      <formula>G$9</formula>
    </cfRule>
  </conditionalFormatting>
  <conditionalFormatting sqref="I16">
    <cfRule type="cellIs" dxfId="1" priority="111" operator="lessThan">
      <formula>G$9</formula>
    </cfRule>
  </conditionalFormatting>
  <conditionalFormatting sqref="I17">
    <cfRule type="cellIs" dxfId="1" priority="112" operator="lessThan">
      <formula>G$9</formula>
    </cfRule>
  </conditionalFormatting>
  <conditionalFormatting sqref="I18">
    <cfRule type="cellIs" dxfId="1" priority="113" operator="lessThan">
      <formula>G$9</formula>
    </cfRule>
  </conditionalFormatting>
  <conditionalFormatting sqref="I19">
    <cfRule type="cellIs" dxfId="1" priority="114" operator="lessThan">
      <formula>G$9</formula>
    </cfRule>
  </conditionalFormatting>
  <conditionalFormatting sqref="I20">
    <cfRule type="cellIs" dxfId="1" priority="115" operator="lessThan">
      <formula>G$9</formula>
    </cfRule>
  </conditionalFormatting>
  <conditionalFormatting sqref="I21">
    <cfRule type="cellIs" dxfId="1" priority="116" operator="lessThan">
      <formula>G$9</formula>
    </cfRule>
  </conditionalFormatting>
  <conditionalFormatting sqref="I22">
    <cfRule type="cellIs" dxfId="1" priority="117" operator="lessThan">
      <formula>G$9</formula>
    </cfRule>
  </conditionalFormatting>
  <conditionalFormatting sqref="I23">
    <cfRule type="cellIs" dxfId="1" priority="118" operator="lessThan">
      <formula>G$9</formula>
    </cfRule>
  </conditionalFormatting>
  <conditionalFormatting sqref="I24">
    <cfRule type="cellIs" dxfId="1" priority="119" operator="lessThan">
      <formula>G$9</formula>
    </cfRule>
  </conditionalFormatting>
  <conditionalFormatting sqref="I25">
    <cfRule type="cellIs" dxfId="1" priority="120" operator="lessThan">
      <formula>G$9</formula>
    </cfRule>
  </conditionalFormatting>
  <conditionalFormatting sqref="I26">
    <cfRule type="cellIs" dxfId="1" priority="121" operator="lessThan">
      <formula>G$9</formula>
    </cfRule>
  </conditionalFormatting>
  <conditionalFormatting sqref="I27">
    <cfRule type="cellIs" dxfId="1" priority="122" operator="lessThan">
      <formula>G$9</formula>
    </cfRule>
  </conditionalFormatting>
  <conditionalFormatting sqref="I28">
    <cfRule type="cellIs" dxfId="1" priority="123" operator="lessThan">
      <formula>G$9</formula>
    </cfRule>
  </conditionalFormatting>
  <conditionalFormatting sqref="I29">
    <cfRule type="cellIs" dxfId="1" priority="124" operator="lessThan">
      <formula>G$9</formula>
    </cfRule>
  </conditionalFormatting>
  <conditionalFormatting sqref="I30">
    <cfRule type="cellIs" dxfId="1" priority="125" operator="lessThan">
      <formula>G$9</formula>
    </cfRule>
  </conditionalFormatting>
  <conditionalFormatting sqref="I31">
    <cfRule type="cellIs" dxfId="1" priority="126" operator="lessThan">
      <formula>G$9</formula>
    </cfRule>
  </conditionalFormatting>
  <conditionalFormatting sqref="I32">
    <cfRule type="cellIs" dxfId="1" priority="127" operator="lessThan">
      <formula>G$9</formula>
    </cfRule>
  </conditionalFormatting>
  <conditionalFormatting sqref="I33">
    <cfRule type="cellIs" dxfId="1" priority="128" operator="lessThan">
      <formula>G$9</formula>
    </cfRule>
  </conditionalFormatting>
  <conditionalFormatting sqref="I34">
    <cfRule type="cellIs" dxfId="1" priority="129" operator="lessThan">
      <formula>G$9</formula>
    </cfRule>
  </conditionalFormatting>
  <conditionalFormatting sqref="I35">
    <cfRule type="cellIs" dxfId="1" priority="130" operator="lessThan">
      <formula>G$9</formula>
    </cfRule>
  </conditionalFormatting>
  <conditionalFormatting sqref="I36">
    <cfRule type="cellIs" dxfId="1" priority="131" operator="lessThan">
      <formula>G$9</formula>
    </cfRule>
  </conditionalFormatting>
  <conditionalFormatting sqref="I37">
    <cfRule type="cellIs" dxfId="1" priority="132" operator="lessThan">
      <formula>G$9</formula>
    </cfRule>
  </conditionalFormatting>
  <conditionalFormatting sqref="I38">
    <cfRule type="cellIs" dxfId="1" priority="133" operator="lessThan">
      <formula>G$9</formula>
    </cfRule>
  </conditionalFormatting>
  <conditionalFormatting sqref="I39">
    <cfRule type="cellIs" dxfId="1" priority="134" operator="lessThan">
      <formula>G$9</formula>
    </cfRule>
  </conditionalFormatting>
  <conditionalFormatting sqref="I40">
    <cfRule type="cellIs" dxfId="1" priority="135" operator="lessThan">
      <formula>G$9</formula>
    </cfRule>
  </conditionalFormatting>
  <conditionalFormatting sqref="I41">
    <cfRule type="cellIs" dxfId="1" priority="136" operator="lessThan">
      <formula>G$9</formula>
    </cfRule>
  </conditionalFormatting>
  <conditionalFormatting sqref="I42">
    <cfRule type="cellIs" dxfId="1" priority="137" operator="lessThan">
      <formula>G$9</formula>
    </cfRule>
  </conditionalFormatting>
  <conditionalFormatting sqref="I43">
    <cfRule type="cellIs" dxfId="1" priority="138" operator="lessThan">
      <formula>G$9</formula>
    </cfRule>
  </conditionalFormatting>
  <conditionalFormatting sqref="I44">
    <cfRule type="cellIs" dxfId="1" priority="139" operator="lessThan">
      <formula>G$9</formula>
    </cfRule>
  </conditionalFormatting>
  <conditionalFormatting sqref="I45">
    <cfRule type="cellIs" dxfId="1" priority="140" operator="lessThan">
      <formula>G$9</formula>
    </cfRule>
  </conditionalFormatting>
  <conditionalFormatting sqref="I46">
    <cfRule type="cellIs" dxfId="1" priority="141" operator="lessThan">
      <formula>G$9</formula>
    </cfRule>
  </conditionalFormatting>
  <conditionalFormatting sqref="I47">
    <cfRule type="cellIs" dxfId="1" priority="142" operator="lessThan">
      <formula>G$9</formula>
    </cfRule>
  </conditionalFormatting>
  <conditionalFormatting sqref="I48">
    <cfRule type="cellIs" dxfId="1" priority="143" operator="lessThan">
      <formula>G$9</formula>
    </cfRule>
  </conditionalFormatting>
  <conditionalFormatting sqref="I49">
    <cfRule type="cellIs" dxfId="1" priority="144" operator="lessThan">
      <formula>G$9</formula>
    </cfRule>
  </conditionalFormatting>
  <conditionalFormatting sqref="I50">
    <cfRule type="cellIs" dxfId="1" priority="145" operator="lessThan">
      <formula>G$9</formula>
    </cfRule>
  </conditionalFormatting>
  <conditionalFormatting sqref="I51">
    <cfRule type="cellIs" dxfId="1" priority="146" operator="lessThan">
      <formula>G$9</formula>
    </cfRule>
  </conditionalFormatting>
  <conditionalFormatting sqref="I52">
    <cfRule type="cellIs" dxfId="1" priority="147" operator="lessThan">
      <formula>G$9</formula>
    </cfRule>
  </conditionalFormatting>
  <conditionalFormatting sqref="I53">
    <cfRule type="cellIs" dxfId="1" priority="148" operator="lessThan">
      <formula>G$9</formula>
    </cfRule>
  </conditionalFormatting>
  <conditionalFormatting sqref="I54">
    <cfRule type="cellIs" dxfId="1" priority="149" operator="lessThan">
      <formula>G$9</formula>
    </cfRule>
  </conditionalFormatting>
  <conditionalFormatting sqref="I55">
    <cfRule type="cellIs" dxfId="1" priority="150" operator="lessThan">
      <formula>G$9</formula>
    </cfRule>
  </conditionalFormatting>
  <conditionalFormatting sqref="I56">
    <cfRule type="cellIs" dxfId="1" priority="151" operator="lessThan">
      <formula>G$9</formula>
    </cfRule>
  </conditionalFormatting>
  <conditionalFormatting sqref="I57">
    <cfRule type="cellIs" dxfId="1" priority="152" operator="lessThan">
      <formula>G$9</formula>
    </cfRule>
  </conditionalFormatting>
  <conditionalFormatting sqref="I58">
    <cfRule type="cellIs" dxfId="1" priority="153" operator="lessThan">
      <formula>G$9</formula>
    </cfRule>
  </conditionalFormatting>
  <conditionalFormatting sqref="I59">
    <cfRule type="cellIs" dxfId="1" priority="154" operator="lessThan">
      <formula>G$9</formula>
    </cfRule>
  </conditionalFormatting>
  <conditionalFormatting sqref="I60">
    <cfRule type="cellIs" dxfId="1" priority="155" operator="lessThan">
      <formula>G$9</formula>
    </cfRule>
  </conditionalFormatting>
  <conditionalFormatting sqref="I61">
    <cfRule type="cellIs" dxfId="1" priority="156" operator="lessThan">
      <formula>G$9</formula>
    </cfRule>
  </conditionalFormatting>
  <conditionalFormatting sqref="I62">
    <cfRule type="cellIs" dxfId="1" priority="157" operator="lessThan">
      <formula>G$9</formula>
    </cfRule>
  </conditionalFormatting>
  <conditionalFormatting sqref="J11">
    <cfRule type="cellIs" dxfId="1" priority="158" operator="lessThan">
      <formula>G$9</formula>
    </cfRule>
  </conditionalFormatting>
  <conditionalFormatting sqref="J12">
    <cfRule type="cellIs" dxfId="1" priority="159" operator="lessThan">
      <formula>G$9</formula>
    </cfRule>
  </conditionalFormatting>
  <conditionalFormatting sqref="J13">
    <cfRule type="cellIs" dxfId="1" priority="160" operator="lessThan">
      <formula>G$9</formula>
    </cfRule>
  </conditionalFormatting>
  <conditionalFormatting sqref="J14">
    <cfRule type="cellIs" dxfId="1" priority="161" operator="lessThan">
      <formula>G$9</formula>
    </cfRule>
  </conditionalFormatting>
  <conditionalFormatting sqref="J15">
    <cfRule type="cellIs" dxfId="1" priority="162" operator="lessThan">
      <formula>G$9</formula>
    </cfRule>
  </conditionalFormatting>
  <conditionalFormatting sqref="J16">
    <cfRule type="cellIs" dxfId="1" priority="163" operator="lessThan">
      <formula>G$9</formula>
    </cfRule>
  </conditionalFormatting>
  <conditionalFormatting sqref="J17">
    <cfRule type="cellIs" dxfId="1" priority="164" operator="lessThan">
      <formula>G$9</formula>
    </cfRule>
  </conditionalFormatting>
  <conditionalFormatting sqref="J18">
    <cfRule type="cellIs" dxfId="1" priority="165" operator="lessThan">
      <formula>G$9</formula>
    </cfRule>
  </conditionalFormatting>
  <conditionalFormatting sqref="J19">
    <cfRule type="cellIs" dxfId="1" priority="166" operator="lessThan">
      <formula>G$9</formula>
    </cfRule>
  </conditionalFormatting>
  <conditionalFormatting sqref="J20">
    <cfRule type="cellIs" dxfId="1" priority="167" operator="lessThan">
      <formula>G$9</formula>
    </cfRule>
  </conditionalFormatting>
  <conditionalFormatting sqref="J21">
    <cfRule type="cellIs" dxfId="1" priority="168" operator="lessThan">
      <formula>G$9</formula>
    </cfRule>
  </conditionalFormatting>
  <conditionalFormatting sqref="J22">
    <cfRule type="cellIs" dxfId="1" priority="169" operator="lessThan">
      <formula>G$9</formula>
    </cfRule>
  </conditionalFormatting>
  <conditionalFormatting sqref="J23">
    <cfRule type="cellIs" dxfId="1" priority="170" operator="lessThan">
      <formula>G$9</formula>
    </cfRule>
  </conditionalFormatting>
  <conditionalFormatting sqref="J24">
    <cfRule type="cellIs" dxfId="1" priority="171" operator="lessThan">
      <formula>G$9</formula>
    </cfRule>
  </conditionalFormatting>
  <conditionalFormatting sqref="J25">
    <cfRule type="cellIs" dxfId="1" priority="172" operator="lessThan">
      <formula>G$9</formula>
    </cfRule>
  </conditionalFormatting>
  <conditionalFormatting sqref="J26">
    <cfRule type="cellIs" dxfId="1" priority="173" operator="lessThan">
      <formula>G$9</formula>
    </cfRule>
  </conditionalFormatting>
  <conditionalFormatting sqref="J27">
    <cfRule type="cellIs" dxfId="1" priority="174" operator="lessThan">
      <formula>G$9</formula>
    </cfRule>
  </conditionalFormatting>
  <conditionalFormatting sqref="J28">
    <cfRule type="cellIs" dxfId="1" priority="175" operator="lessThan">
      <formula>G$9</formula>
    </cfRule>
  </conditionalFormatting>
  <conditionalFormatting sqref="J29">
    <cfRule type="cellIs" dxfId="1" priority="176" operator="lessThan">
      <formula>G$9</formula>
    </cfRule>
  </conditionalFormatting>
  <conditionalFormatting sqref="J30">
    <cfRule type="cellIs" dxfId="1" priority="177" operator="lessThan">
      <formula>G$9</formula>
    </cfRule>
  </conditionalFormatting>
  <conditionalFormatting sqref="J31">
    <cfRule type="cellIs" dxfId="1" priority="178" operator="lessThan">
      <formula>G$9</formula>
    </cfRule>
  </conditionalFormatting>
  <conditionalFormatting sqref="J32">
    <cfRule type="cellIs" dxfId="1" priority="179" operator="lessThan">
      <formula>G$9</formula>
    </cfRule>
  </conditionalFormatting>
  <conditionalFormatting sqref="J33">
    <cfRule type="cellIs" dxfId="1" priority="180" operator="lessThan">
      <formula>G$9</formula>
    </cfRule>
  </conditionalFormatting>
  <conditionalFormatting sqref="J34">
    <cfRule type="cellIs" dxfId="1" priority="181" operator="lessThan">
      <formula>G$9</formula>
    </cfRule>
  </conditionalFormatting>
  <conditionalFormatting sqref="J35">
    <cfRule type="cellIs" dxfId="1" priority="182" operator="lessThan">
      <formula>G$9</formula>
    </cfRule>
  </conditionalFormatting>
  <conditionalFormatting sqref="J36">
    <cfRule type="cellIs" dxfId="1" priority="183" operator="lessThan">
      <formula>G$9</formula>
    </cfRule>
  </conditionalFormatting>
  <conditionalFormatting sqref="J37">
    <cfRule type="cellIs" dxfId="1" priority="184" operator="lessThan">
      <formula>G$9</formula>
    </cfRule>
  </conditionalFormatting>
  <conditionalFormatting sqref="J38">
    <cfRule type="cellIs" dxfId="1" priority="185" operator="lessThan">
      <formula>G$9</formula>
    </cfRule>
  </conditionalFormatting>
  <conditionalFormatting sqref="J39">
    <cfRule type="cellIs" dxfId="1" priority="186" operator="lessThan">
      <formula>G$9</formula>
    </cfRule>
  </conditionalFormatting>
  <conditionalFormatting sqref="J40">
    <cfRule type="cellIs" dxfId="1" priority="187" operator="lessThan">
      <formula>G$9</formula>
    </cfRule>
  </conditionalFormatting>
  <conditionalFormatting sqref="J41">
    <cfRule type="cellIs" dxfId="1" priority="188" operator="lessThan">
      <formula>G$9</formula>
    </cfRule>
  </conditionalFormatting>
  <conditionalFormatting sqref="J42">
    <cfRule type="cellIs" dxfId="1" priority="189" operator="lessThan">
      <formula>G$9</formula>
    </cfRule>
  </conditionalFormatting>
  <conditionalFormatting sqref="J43">
    <cfRule type="cellIs" dxfId="1" priority="190" operator="lessThan">
      <formula>G$9</formula>
    </cfRule>
  </conditionalFormatting>
  <conditionalFormatting sqref="J44">
    <cfRule type="cellIs" dxfId="1" priority="191" operator="lessThan">
      <formula>G$9</formula>
    </cfRule>
  </conditionalFormatting>
  <conditionalFormatting sqref="J45">
    <cfRule type="cellIs" dxfId="1" priority="192" operator="lessThan">
      <formula>G$9</formula>
    </cfRule>
  </conditionalFormatting>
  <conditionalFormatting sqref="J46">
    <cfRule type="cellIs" dxfId="1" priority="193" operator="lessThan">
      <formula>G$9</formula>
    </cfRule>
  </conditionalFormatting>
  <conditionalFormatting sqref="J47">
    <cfRule type="cellIs" dxfId="1" priority="194" operator="lessThan">
      <formula>G$9</formula>
    </cfRule>
  </conditionalFormatting>
  <conditionalFormatting sqref="J48">
    <cfRule type="cellIs" dxfId="1" priority="195" operator="lessThan">
      <formula>G$9</formula>
    </cfRule>
  </conditionalFormatting>
  <conditionalFormatting sqref="J49">
    <cfRule type="cellIs" dxfId="1" priority="196" operator="lessThan">
      <formula>G$9</formula>
    </cfRule>
  </conditionalFormatting>
  <conditionalFormatting sqref="J50">
    <cfRule type="cellIs" dxfId="1" priority="197" operator="lessThan">
      <formula>G$9</formula>
    </cfRule>
  </conditionalFormatting>
  <conditionalFormatting sqref="J51">
    <cfRule type="cellIs" dxfId="1" priority="198" operator="lessThan">
      <formula>G$9</formula>
    </cfRule>
  </conditionalFormatting>
  <conditionalFormatting sqref="J52">
    <cfRule type="cellIs" dxfId="1" priority="199" operator="lessThan">
      <formula>G$9</formula>
    </cfRule>
  </conditionalFormatting>
  <conditionalFormatting sqref="J53">
    <cfRule type="cellIs" dxfId="1" priority="200" operator="lessThan">
      <formula>G$9</formula>
    </cfRule>
  </conditionalFormatting>
  <conditionalFormatting sqref="J54">
    <cfRule type="cellIs" dxfId="1" priority="201" operator="lessThan">
      <formula>G$9</formula>
    </cfRule>
  </conditionalFormatting>
  <conditionalFormatting sqref="J55">
    <cfRule type="cellIs" dxfId="1" priority="202" operator="lessThan">
      <formula>G$9</formula>
    </cfRule>
  </conditionalFormatting>
  <conditionalFormatting sqref="J56">
    <cfRule type="cellIs" dxfId="1" priority="203" operator="lessThan">
      <formula>G$9</formula>
    </cfRule>
  </conditionalFormatting>
  <conditionalFormatting sqref="J57">
    <cfRule type="cellIs" dxfId="1" priority="204" operator="lessThan">
      <formula>G$9</formula>
    </cfRule>
  </conditionalFormatting>
  <conditionalFormatting sqref="J58">
    <cfRule type="cellIs" dxfId="1" priority="205" operator="lessThan">
      <formula>G$9</formula>
    </cfRule>
  </conditionalFormatting>
  <conditionalFormatting sqref="J59">
    <cfRule type="cellIs" dxfId="1" priority="206" operator="lessThan">
      <formula>G$9</formula>
    </cfRule>
  </conditionalFormatting>
  <conditionalFormatting sqref="J60">
    <cfRule type="cellIs" dxfId="1" priority="207" operator="lessThan">
      <formula>G$9</formula>
    </cfRule>
  </conditionalFormatting>
  <conditionalFormatting sqref="J61">
    <cfRule type="cellIs" dxfId="1" priority="208" operator="lessThan">
      <formula>G$9</formula>
    </cfRule>
  </conditionalFormatting>
  <conditionalFormatting sqref="J62">
    <cfRule type="cellIs" dxfId="1" priority="209" operator="lessThan">
      <formula>G$9</formula>
    </cfRule>
  </conditionalFormatting>
  <conditionalFormatting sqref="K11">
    <cfRule type="cellIs" dxfId="1" priority="210" operator="lessThan">
      <formula>G$9</formula>
    </cfRule>
  </conditionalFormatting>
  <conditionalFormatting sqref="K12">
    <cfRule type="cellIs" dxfId="1" priority="211" operator="lessThan">
      <formula>G$9</formula>
    </cfRule>
  </conditionalFormatting>
  <conditionalFormatting sqref="K13">
    <cfRule type="cellIs" dxfId="1" priority="212" operator="lessThan">
      <formula>G$9</formula>
    </cfRule>
  </conditionalFormatting>
  <conditionalFormatting sqref="K14">
    <cfRule type="cellIs" dxfId="1" priority="213" operator="lessThan">
      <formula>G$9</formula>
    </cfRule>
  </conditionalFormatting>
  <conditionalFormatting sqref="K15">
    <cfRule type="cellIs" dxfId="1" priority="214" operator="lessThan">
      <formula>G$9</formula>
    </cfRule>
  </conditionalFormatting>
  <conditionalFormatting sqref="K16">
    <cfRule type="cellIs" dxfId="1" priority="215" operator="lessThan">
      <formula>G$9</formula>
    </cfRule>
  </conditionalFormatting>
  <conditionalFormatting sqref="K17">
    <cfRule type="cellIs" dxfId="1" priority="216" operator="lessThan">
      <formula>G$9</formula>
    </cfRule>
  </conditionalFormatting>
  <conditionalFormatting sqref="K18">
    <cfRule type="cellIs" dxfId="1" priority="217" operator="lessThan">
      <formula>G$9</formula>
    </cfRule>
  </conditionalFormatting>
  <conditionalFormatting sqref="K19">
    <cfRule type="cellIs" dxfId="1" priority="218" operator="lessThan">
      <formula>G$9</formula>
    </cfRule>
  </conditionalFormatting>
  <conditionalFormatting sqref="K20">
    <cfRule type="cellIs" dxfId="1" priority="219" operator="lessThan">
      <formula>G$9</formula>
    </cfRule>
  </conditionalFormatting>
  <conditionalFormatting sqref="K21">
    <cfRule type="cellIs" dxfId="1" priority="220" operator="lessThan">
      <formula>G$9</formula>
    </cfRule>
  </conditionalFormatting>
  <conditionalFormatting sqref="K22">
    <cfRule type="cellIs" dxfId="1" priority="221" operator="lessThan">
      <formula>G$9</formula>
    </cfRule>
  </conditionalFormatting>
  <conditionalFormatting sqref="K23">
    <cfRule type="cellIs" dxfId="1" priority="222" operator="lessThan">
      <formula>G$9</formula>
    </cfRule>
  </conditionalFormatting>
  <conditionalFormatting sqref="K24">
    <cfRule type="cellIs" dxfId="1" priority="223" operator="lessThan">
      <formula>G$9</formula>
    </cfRule>
  </conditionalFormatting>
  <conditionalFormatting sqref="K25">
    <cfRule type="cellIs" dxfId="1" priority="224" operator="lessThan">
      <formula>G$9</formula>
    </cfRule>
  </conditionalFormatting>
  <conditionalFormatting sqref="K26">
    <cfRule type="cellIs" dxfId="1" priority="225" operator="lessThan">
      <formula>G$9</formula>
    </cfRule>
  </conditionalFormatting>
  <conditionalFormatting sqref="K27">
    <cfRule type="cellIs" dxfId="1" priority="226" operator="lessThan">
      <formula>G$9</formula>
    </cfRule>
  </conditionalFormatting>
  <conditionalFormatting sqref="K28">
    <cfRule type="cellIs" dxfId="1" priority="227" operator="lessThan">
      <formula>G$9</formula>
    </cfRule>
  </conditionalFormatting>
  <conditionalFormatting sqref="K29">
    <cfRule type="cellIs" dxfId="1" priority="228" operator="lessThan">
      <formula>G$9</formula>
    </cfRule>
  </conditionalFormatting>
  <conditionalFormatting sqref="K30">
    <cfRule type="cellIs" dxfId="1" priority="229" operator="lessThan">
      <formula>G$9</formula>
    </cfRule>
  </conditionalFormatting>
  <conditionalFormatting sqref="K31">
    <cfRule type="cellIs" dxfId="1" priority="230" operator="lessThan">
      <formula>G$9</formula>
    </cfRule>
  </conditionalFormatting>
  <conditionalFormatting sqref="K32">
    <cfRule type="cellIs" dxfId="1" priority="231" operator="lessThan">
      <formula>G$9</formula>
    </cfRule>
  </conditionalFormatting>
  <conditionalFormatting sqref="K33">
    <cfRule type="cellIs" dxfId="1" priority="232" operator="lessThan">
      <formula>G$9</formula>
    </cfRule>
  </conditionalFormatting>
  <conditionalFormatting sqref="K34">
    <cfRule type="cellIs" dxfId="1" priority="233" operator="lessThan">
      <formula>G$9</formula>
    </cfRule>
  </conditionalFormatting>
  <conditionalFormatting sqref="K35">
    <cfRule type="cellIs" dxfId="1" priority="234" operator="lessThan">
      <formula>G$9</formula>
    </cfRule>
  </conditionalFormatting>
  <conditionalFormatting sqref="K36">
    <cfRule type="cellIs" dxfId="1" priority="235" operator="lessThan">
      <formula>G$9</formula>
    </cfRule>
  </conditionalFormatting>
  <conditionalFormatting sqref="K37">
    <cfRule type="cellIs" dxfId="1" priority="236" operator="lessThan">
      <formula>G$9</formula>
    </cfRule>
  </conditionalFormatting>
  <conditionalFormatting sqref="K38">
    <cfRule type="cellIs" dxfId="1" priority="237" operator="lessThan">
      <formula>G$9</formula>
    </cfRule>
  </conditionalFormatting>
  <conditionalFormatting sqref="K39">
    <cfRule type="cellIs" dxfId="1" priority="238" operator="lessThan">
      <formula>G$9</formula>
    </cfRule>
  </conditionalFormatting>
  <conditionalFormatting sqref="K40">
    <cfRule type="cellIs" dxfId="1" priority="239" operator="lessThan">
      <formula>G$9</formula>
    </cfRule>
  </conditionalFormatting>
  <conditionalFormatting sqref="K41">
    <cfRule type="cellIs" dxfId="1" priority="240" operator="lessThan">
      <formula>G$9</formula>
    </cfRule>
  </conditionalFormatting>
  <conditionalFormatting sqref="K42">
    <cfRule type="cellIs" dxfId="1" priority="241" operator="lessThan">
      <formula>G$9</formula>
    </cfRule>
  </conditionalFormatting>
  <conditionalFormatting sqref="K43">
    <cfRule type="cellIs" dxfId="1" priority="242" operator="lessThan">
      <formula>G$9</formula>
    </cfRule>
  </conditionalFormatting>
  <conditionalFormatting sqref="K44">
    <cfRule type="cellIs" dxfId="1" priority="243" operator="lessThan">
      <formula>G$9</formula>
    </cfRule>
  </conditionalFormatting>
  <conditionalFormatting sqref="K45">
    <cfRule type="cellIs" dxfId="1" priority="244" operator="lessThan">
      <formula>G$9</formula>
    </cfRule>
  </conditionalFormatting>
  <conditionalFormatting sqref="K46">
    <cfRule type="cellIs" dxfId="1" priority="245" operator="lessThan">
      <formula>G$9</formula>
    </cfRule>
  </conditionalFormatting>
  <conditionalFormatting sqref="K47">
    <cfRule type="cellIs" dxfId="1" priority="246" operator="lessThan">
      <formula>G$9</formula>
    </cfRule>
  </conditionalFormatting>
  <conditionalFormatting sqref="K48">
    <cfRule type="cellIs" dxfId="1" priority="247" operator="lessThan">
      <formula>G$9</formula>
    </cfRule>
  </conditionalFormatting>
  <conditionalFormatting sqref="K49">
    <cfRule type="cellIs" dxfId="1" priority="248" operator="lessThan">
      <formula>G$9</formula>
    </cfRule>
  </conditionalFormatting>
  <conditionalFormatting sqref="K50">
    <cfRule type="cellIs" dxfId="1" priority="249" operator="lessThan">
      <formula>G$9</formula>
    </cfRule>
  </conditionalFormatting>
  <conditionalFormatting sqref="K51">
    <cfRule type="cellIs" dxfId="1" priority="250" operator="lessThan">
      <formula>G$9</formula>
    </cfRule>
  </conditionalFormatting>
  <conditionalFormatting sqref="K52">
    <cfRule type="cellIs" dxfId="1" priority="251" operator="lessThan">
      <formula>G$9</formula>
    </cfRule>
  </conditionalFormatting>
  <conditionalFormatting sqref="K53">
    <cfRule type="cellIs" dxfId="1" priority="252" operator="lessThan">
      <formula>G$9</formula>
    </cfRule>
  </conditionalFormatting>
  <conditionalFormatting sqref="K54">
    <cfRule type="cellIs" dxfId="1" priority="253" operator="lessThan">
      <formula>G$9</formula>
    </cfRule>
  </conditionalFormatting>
  <conditionalFormatting sqref="K55">
    <cfRule type="cellIs" dxfId="1" priority="254" operator="lessThan">
      <formula>G$9</formula>
    </cfRule>
  </conditionalFormatting>
  <conditionalFormatting sqref="K56">
    <cfRule type="cellIs" dxfId="1" priority="255" operator="lessThan">
      <formula>G$9</formula>
    </cfRule>
  </conditionalFormatting>
  <conditionalFormatting sqref="K57">
    <cfRule type="cellIs" dxfId="1" priority="256" operator="lessThan">
      <formula>G$9</formula>
    </cfRule>
  </conditionalFormatting>
  <conditionalFormatting sqref="K58">
    <cfRule type="cellIs" dxfId="1" priority="257" operator="lessThan">
      <formula>G$9</formula>
    </cfRule>
  </conditionalFormatting>
  <conditionalFormatting sqref="K59">
    <cfRule type="cellIs" dxfId="1" priority="258" operator="lessThan">
      <formula>G$9</formula>
    </cfRule>
  </conditionalFormatting>
  <conditionalFormatting sqref="K60">
    <cfRule type="cellIs" dxfId="1" priority="259" operator="lessThan">
      <formula>G$9</formula>
    </cfRule>
  </conditionalFormatting>
  <conditionalFormatting sqref="K61">
    <cfRule type="cellIs" dxfId="1" priority="260" operator="lessThan">
      <formula>G$9</formula>
    </cfRule>
  </conditionalFormatting>
  <conditionalFormatting sqref="K62">
    <cfRule type="cellIs" dxfId="1" priority="261" operator="lessThan">
      <formula>G$9</formula>
    </cfRule>
  </conditionalFormatting>
  <conditionalFormatting sqref="L11">
    <cfRule type="cellIs" dxfId="1" priority="262" operator="lessThan">
      <formula>G$9</formula>
    </cfRule>
  </conditionalFormatting>
  <conditionalFormatting sqref="L12">
    <cfRule type="cellIs" dxfId="1" priority="263" operator="lessThan">
      <formula>G$9</formula>
    </cfRule>
  </conditionalFormatting>
  <conditionalFormatting sqref="L13">
    <cfRule type="cellIs" dxfId="1" priority="264" operator="lessThan">
      <formula>G$9</formula>
    </cfRule>
  </conditionalFormatting>
  <conditionalFormatting sqref="L14">
    <cfRule type="cellIs" dxfId="1" priority="265" operator="lessThan">
      <formula>G$9</formula>
    </cfRule>
  </conditionalFormatting>
  <conditionalFormatting sqref="L15">
    <cfRule type="cellIs" dxfId="1" priority="266" operator="lessThan">
      <formula>G$9</formula>
    </cfRule>
  </conditionalFormatting>
  <conditionalFormatting sqref="L16">
    <cfRule type="cellIs" dxfId="1" priority="267" operator="lessThan">
      <formula>G$9</formula>
    </cfRule>
  </conditionalFormatting>
  <conditionalFormatting sqref="L17">
    <cfRule type="cellIs" dxfId="1" priority="268" operator="lessThan">
      <formula>G$9</formula>
    </cfRule>
  </conditionalFormatting>
  <conditionalFormatting sqref="L18">
    <cfRule type="cellIs" dxfId="1" priority="269" operator="lessThan">
      <formula>G$9</formula>
    </cfRule>
  </conditionalFormatting>
  <conditionalFormatting sqref="L19">
    <cfRule type="cellIs" dxfId="1" priority="270" operator="lessThan">
      <formula>G$9</formula>
    </cfRule>
  </conditionalFormatting>
  <conditionalFormatting sqref="L20">
    <cfRule type="cellIs" dxfId="1" priority="271" operator="lessThan">
      <formula>G$9</formula>
    </cfRule>
  </conditionalFormatting>
  <conditionalFormatting sqref="L21">
    <cfRule type="cellIs" dxfId="1" priority="272" operator="lessThan">
      <formula>G$9</formula>
    </cfRule>
  </conditionalFormatting>
  <conditionalFormatting sqref="L22">
    <cfRule type="cellIs" dxfId="1" priority="273" operator="lessThan">
      <formula>G$9</formula>
    </cfRule>
  </conditionalFormatting>
  <conditionalFormatting sqref="L23">
    <cfRule type="cellIs" dxfId="1" priority="274" operator="lessThan">
      <formula>G$9</formula>
    </cfRule>
  </conditionalFormatting>
  <conditionalFormatting sqref="L24">
    <cfRule type="cellIs" dxfId="1" priority="275" operator="lessThan">
      <formula>G$9</formula>
    </cfRule>
  </conditionalFormatting>
  <conditionalFormatting sqref="L25">
    <cfRule type="cellIs" dxfId="1" priority="276" operator="lessThan">
      <formula>G$9</formula>
    </cfRule>
  </conditionalFormatting>
  <conditionalFormatting sqref="L26">
    <cfRule type="cellIs" dxfId="1" priority="277" operator="lessThan">
      <formula>G$9</formula>
    </cfRule>
  </conditionalFormatting>
  <conditionalFormatting sqref="L27">
    <cfRule type="cellIs" dxfId="1" priority="278" operator="lessThan">
      <formula>G$9</formula>
    </cfRule>
  </conditionalFormatting>
  <conditionalFormatting sqref="L28">
    <cfRule type="cellIs" dxfId="1" priority="279" operator="lessThan">
      <formula>G$9</formula>
    </cfRule>
  </conditionalFormatting>
  <conditionalFormatting sqref="L29">
    <cfRule type="cellIs" dxfId="1" priority="280" operator="lessThan">
      <formula>G$9</formula>
    </cfRule>
  </conditionalFormatting>
  <conditionalFormatting sqref="L30">
    <cfRule type="cellIs" dxfId="1" priority="281" operator="lessThan">
      <formula>G$9</formula>
    </cfRule>
  </conditionalFormatting>
  <conditionalFormatting sqref="L31">
    <cfRule type="cellIs" dxfId="1" priority="282" operator="lessThan">
      <formula>G$9</formula>
    </cfRule>
  </conditionalFormatting>
  <conditionalFormatting sqref="L32">
    <cfRule type="cellIs" dxfId="1" priority="283" operator="lessThan">
      <formula>G$9</formula>
    </cfRule>
  </conditionalFormatting>
  <conditionalFormatting sqref="L33">
    <cfRule type="cellIs" dxfId="1" priority="284" operator="lessThan">
      <formula>G$9</formula>
    </cfRule>
  </conditionalFormatting>
  <conditionalFormatting sqref="L34">
    <cfRule type="cellIs" dxfId="1" priority="285" operator="lessThan">
      <formula>G$9</formula>
    </cfRule>
  </conditionalFormatting>
  <conditionalFormatting sqref="L35">
    <cfRule type="cellIs" dxfId="1" priority="286" operator="lessThan">
      <formula>G$9</formula>
    </cfRule>
  </conditionalFormatting>
  <conditionalFormatting sqref="L36">
    <cfRule type="cellIs" dxfId="1" priority="287" operator="lessThan">
      <formula>G$9</formula>
    </cfRule>
  </conditionalFormatting>
  <conditionalFormatting sqref="L37">
    <cfRule type="cellIs" dxfId="1" priority="288" operator="lessThan">
      <formula>G$9</formula>
    </cfRule>
  </conditionalFormatting>
  <conditionalFormatting sqref="L38">
    <cfRule type="cellIs" dxfId="1" priority="289" operator="lessThan">
      <formula>G$9</formula>
    </cfRule>
  </conditionalFormatting>
  <conditionalFormatting sqref="L39">
    <cfRule type="cellIs" dxfId="1" priority="290" operator="lessThan">
      <formula>G$9</formula>
    </cfRule>
  </conditionalFormatting>
  <conditionalFormatting sqref="L40">
    <cfRule type="cellIs" dxfId="1" priority="291" operator="lessThan">
      <formula>G$9</formula>
    </cfRule>
  </conditionalFormatting>
  <conditionalFormatting sqref="L41">
    <cfRule type="cellIs" dxfId="1" priority="292" operator="lessThan">
      <formula>G$9</formula>
    </cfRule>
  </conditionalFormatting>
  <conditionalFormatting sqref="L42">
    <cfRule type="cellIs" dxfId="1" priority="293" operator="lessThan">
      <formula>G$9</formula>
    </cfRule>
  </conditionalFormatting>
  <conditionalFormatting sqref="L43">
    <cfRule type="cellIs" dxfId="1" priority="294" operator="lessThan">
      <formula>G$9</formula>
    </cfRule>
  </conditionalFormatting>
  <conditionalFormatting sqref="L44">
    <cfRule type="cellIs" dxfId="1" priority="295" operator="lessThan">
      <formula>G$9</formula>
    </cfRule>
  </conditionalFormatting>
  <conditionalFormatting sqref="L45">
    <cfRule type="cellIs" dxfId="1" priority="296" operator="lessThan">
      <formula>G$9</formula>
    </cfRule>
  </conditionalFormatting>
  <conditionalFormatting sqref="L46">
    <cfRule type="cellIs" dxfId="1" priority="297" operator="lessThan">
      <formula>G$9</formula>
    </cfRule>
  </conditionalFormatting>
  <conditionalFormatting sqref="L47">
    <cfRule type="cellIs" dxfId="1" priority="298" operator="lessThan">
      <formula>G$9</formula>
    </cfRule>
  </conditionalFormatting>
  <conditionalFormatting sqref="L48">
    <cfRule type="cellIs" dxfId="1" priority="299" operator="lessThan">
      <formula>G$9</formula>
    </cfRule>
  </conditionalFormatting>
  <conditionalFormatting sqref="L49">
    <cfRule type="cellIs" dxfId="1" priority="300" operator="lessThan">
      <formula>G$9</formula>
    </cfRule>
  </conditionalFormatting>
  <conditionalFormatting sqref="L50">
    <cfRule type="cellIs" dxfId="1" priority="301" operator="lessThan">
      <formula>G$9</formula>
    </cfRule>
  </conditionalFormatting>
  <conditionalFormatting sqref="L51">
    <cfRule type="cellIs" dxfId="1" priority="302" operator="lessThan">
      <formula>G$9</formula>
    </cfRule>
  </conditionalFormatting>
  <conditionalFormatting sqref="L52">
    <cfRule type="cellIs" dxfId="1" priority="303" operator="lessThan">
      <formula>G$9</formula>
    </cfRule>
  </conditionalFormatting>
  <conditionalFormatting sqref="L53">
    <cfRule type="cellIs" dxfId="1" priority="304" operator="lessThan">
      <formula>G$9</formula>
    </cfRule>
  </conditionalFormatting>
  <conditionalFormatting sqref="L54">
    <cfRule type="cellIs" dxfId="1" priority="305" operator="lessThan">
      <formula>G$9</formula>
    </cfRule>
  </conditionalFormatting>
  <conditionalFormatting sqref="L55">
    <cfRule type="cellIs" dxfId="1" priority="306" operator="lessThan">
      <formula>G$9</formula>
    </cfRule>
  </conditionalFormatting>
  <conditionalFormatting sqref="L56">
    <cfRule type="cellIs" dxfId="1" priority="307" operator="lessThan">
      <formula>G$9</formula>
    </cfRule>
  </conditionalFormatting>
  <conditionalFormatting sqref="L57">
    <cfRule type="cellIs" dxfId="1" priority="308" operator="lessThan">
      <formula>G$9</formula>
    </cfRule>
  </conditionalFormatting>
  <conditionalFormatting sqref="L58">
    <cfRule type="cellIs" dxfId="1" priority="309" operator="lessThan">
      <formula>G$9</formula>
    </cfRule>
  </conditionalFormatting>
  <conditionalFormatting sqref="L59">
    <cfRule type="cellIs" dxfId="1" priority="310" operator="lessThan">
      <formula>G$9</formula>
    </cfRule>
  </conditionalFormatting>
  <conditionalFormatting sqref="L60">
    <cfRule type="cellIs" dxfId="1" priority="311" operator="lessThan">
      <formula>G$9</formula>
    </cfRule>
  </conditionalFormatting>
  <conditionalFormatting sqref="L61">
    <cfRule type="cellIs" dxfId="1" priority="312" operator="lessThan">
      <formula>G$9</formula>
    </cfRule>
  </conditionalFormatting>
  <conditionalFormatting sqref="L62">
    <cfRule type="cellIs" dxfId="1" priority="313" operator="lessThan">
      <formula>G$9</formula>
    </cfRule>
  </conditionalFormatting>
  <conditionalFormatting sqref="M11">
    <cfRule type="cellIs" dxfId="1" priority="314" operator="lessThan">
      <formula>G$9</formula>
    </cfRule>
  </conditionalFormatting>
  <conditionalFormatting sqref="M12">
    <cfRule type="cellIs" dxfId="1" priority="315" operator="lessThan">
      <formula>G$9</formula>
    </cfRule>
  </conditionalFormatting>
  <conditionalFormatting sqref="M13">
    <cfRule type="cellIs" dxfId="1" priority="316" operator="lessThan">
      <formula>G$9</formula>
    </cfRule>
  </conditionalFormatting>
  <conditionalFormatting sqref="M14">
    <cfRule type="cellIs" dxfId="1" priority="317" operator="lessThan">
      <formula>G$9</formula>
    </cfRule>
  </conditionalFormatting>
  <conditionalFormatting sqref="M15">
    <cfRule type="cellIs" dxfId="1" priority="318" operator="lessThan">
      <formula>G$9</formula>
    </cfRule>
  </conditionalFormatting>
  <conditionalFormatting sqref="M16">
    <cfRule type="cellIs" dxfId="1" priority="319" operator="lessThan">
      <formula>G$9</formula>
    </cfRule>
  </conditionalFormatting>
  <conditionalFormatting sqref="M17">
    <cfRule type="cellIs" dxfId="1" priority="320" operator="lessThan">
      <formula>G$9</formula>
    </cfRule>
  </conditionalFormatting>
  <conditionalFormatting sqref="M18">
    <cfRule type="cellIs" dxfId="1" priority="321" operator="lessThan">
      <formula>G$9</formula>
    </cfRule>
  </conditionalFormatting>
  <conditionalFormatting sqref="M19">
    <cfRule type="cellIs" dxfId="1" priority="322" operator="lessThan">
      <formula>G$9</formula>
    </cfRule>
  </conditionalFormatting>
  <conditionalFormatting sqref="M20">
    <cfRule type="cellIs" dxfId="1" priority="323" operator="lessThan">
      <formula>G$9</formula>
    </cfRule>
  </conditionalFormatting>
  <conditionalFormatting sqref="M21">
    <cfRule type="cellIs" dxfId="1" priority="324" operator="lessThan">
      <formula>G$9</formula>
    </cfRule>
  </conditionalFormatting>
  <conditionalFormatting sqref="M22">
    <cfRule type="cellIs" dxfId="1" priority="325" operator="lessThan">
      <formula>G$9</formula>
    </cfRule>
  </conditionalFormatting>
  <conditionalFormatting sqref="M23">
    <cfRule type="cellIs" dxfId="1" priority="326" operator="lessThan">
      <formula>G$9</formula>
    </cfRule>
  </conditionalFormatting>
  <conditionalFormatting sqref="M24">
    <cfRule type="cellIs" dxfId="1" priority="327" operator="lessThan">
      <formula>G$9</formula>
    </cfRule>
  </conditionalFormatting>
  <conditionalFormatting sqref="M25">
    <cfRule type="cellIs" dxfId="1" priority="328" operator="lessThan">
      <formula>G$9</formula>
    </cfRule>
  </conditionalFormatting>
  <conditionalFormatting sqref="M26">
    <cfRule type="cellIs" dxfId="1" priority="329" operator="lessThan">
      <formula>G$9</formula>
    </cfRule>
  </conditionalFormatting>
  <conditionalFormatting sqref="M27">
    <cfRule type="cellIs" dxfId="1" priority="330" operator="lessThan">
      <formula>G$9</formula>
    </cfRule>
  </conditionalFormatting>
  <conditionalFormatting sqref="M28">
    <cfRule type="cellIs" dxfId="1" priority="331" operator="lessThan">
      <formula>G$9</formula>
    </cfRule>
  </conditionalFormatting>
  <conditionalFormatting sqref="M29">
    <cfRule type="cellIs" dxfId="1" priority="332" operator="lessThan">
      <formula>G$9</formula>
    </cfRule>
  </conditionalFormatting>
  <conditionalFormatting sqref="M30">
    <cfRule type="cellIs" dxfId="1" priority="333" operator="lessThan">
      <formula>G$9</formula>
    </cfRule>
  </conditionalFormatting>
  <conditionalFormatting sqref="M31">
    <cfRule type="cellIs" dxfId="1" priority="334" operator="lessThan">
      <formula>G$9</formula>
    </cfRule>
  </conditionalFormatting>
  <conditionalFormatting sqref="M32">
    <cfRule type="cellIs" dxfId="1" priority="335" operator="lessThan">
      <formula>G$9</formula>
    </cfRule>
  </conditionalFormatting>
  <conditionalFormatting sqref="M33">
    <cfRule type="cellIs" dxfId="1" priority="336" operator="lessThan">
      <formula>G$9</formula>
    </cfRule>
  </conditionalFormatting>
  <conditionalFormatting sqref="M34">
    <cfRule type="cellIs" dxfId="1" priority="337" operator="lessThan">
      <formula>G$9</formula>
    </cfRule>
  </conditionalFormatting>
  <conditionalFormatting sqref="M35">
    <cfRule type="cellIs" dxfId="1" priority="338" operator="lessThan">
      <formula>G$9</formula>
    </cfRule>
  </conditionalFormatting>
  <conditionalFormatting sqref="M36">
    <cfRule type="cellIs" dxfId="1" priority="339" operator="lessThan">
      <formula>G$9</formula>
    </cfRule>
  </conditionalFormatting>
  <conditionalFormatting sqref="M37">
    <cfRule type="cellIs" dxfId="1" priority="340" operator="lessThan">
      <formula>G$9</formula>
    </cfRule>
  </conditionalFormatting>
  <conditionalFormatting sqref="M38">
    <cfRule type="cellIs" dxfId="1" priority="341" operator="lessThan">
      <formula>G$9</formula>
    </cfRule>
  </conditionalFormatting>
  <conditionalFormatting sqref="M39">
    <cfRule type="cellIs" dxfId="1" priority="342" operator="lessThan">
      <formula>G$9</formula>
    </cfRule>
  </conditionalFormatting>
  <conditionalFormatting sqref="M40">
    <cfRule type="cellIs" dxfId="1" priority="343" operator="lessThan">
      <formula>G$9</formula>
    </cfRule>
  </conditionalFormatting>
  <conditionalFormatting sqref="M41">
    <cfRule type="cellIs" dxfId="1" priority="344" operator="lessThan">
      <formula>G$9</formula>
    </cfRule>
  </conditionalFormatting>
  <conditionalFormatting sqref="M42">
    <cfRule type="cellIs" dxfId="1" priority="345" operator="lessThan">
      <formula>G$9</formula>
    </cfRule>
  </conditionalFormatting>
  <conditionalFormatting sqref="M43">
    <cfRule type="cellIs" dxfId="1" priority="346" operator="lessThan">
      <formula>G$9</formula>
    </cfRule>
  </conditionalFormatting>
  <conditionalFormatting sqref="M44">
    <cfRule type="cellIs" dxfId="1" priority="347" operator="lessThan">
      <formula>G$9</formula>
    </cfRule>
  </conditionalFormatting>
  <conditionalFormatting sqref="M45">
    <cfRule type="cellIs" dxfId="1" priority="348" operator="lessThan">
      <formula>G$9</formula>
    </cfRule>
  </conditionalFormatting>
  <conditionalFormatting sqref="M46">
    <cfRule type="cellIs" dxfId="1" priority="349" operator="lessThan">
      <formula>G$9</formula>
    </cfRule>
  </conditionalFormatting>
  <conditionalFormatting sqref="M47">
    <cfRule type="cellIs" dxfId="1" priority="350" operator="lessThan">
      <formula>G$9</formula>
    </cfRule>
  </conditionalFormatting>
  <conditionalFormatting sqref="M48">
    <cfRule type="cellIs" dxfId="1" priority="351" operator="lessThan">
      <formula>G$9</formula>
    </cfRule>
  </conditionalFormatting>
  <conditionalFormatting sqref="M49">
    <cfRule type="cellIs" dxfId="1" priority="352" operator="lessThan">
      <formula>G$9</formula>
    </cfRule>
  </conditionalFormatting>
  <conditionalFormatting sqref="M50">
    <cfRule type="cellIs" dxfId="1" priority="353" operator="lessThan">
      <formula>G$9</formula>
    </cfRule>
  </conditionalFormatting>
  <conditionalFormatting sqref="M51">
    <cfRule type="cellIs" dxfId="1" priority="354" operator="lessThan">
      <formula>G$9</formula>
    </cfRule>
  </conditionalFormatting>
  <conditionalFormatting sqref="M52">
    <cfRule type="cellIs" dxfId="1" priority="355" operator="lessThan">
      <formula>G$9</formula>
    </cfRule>
  </conditionalFormatting>
  <conditionalFormatting sqref="M53">
    <cfRule type="cellIs" dxfId="1" priority="356" operator="lessThan">
      <formula>G$9</formula>
    </cfRule>
  </conditionalFormatting>
  <conditionalFormatting sqref="M54">
    <cfRule type="cellIs" dxfId="1" priority="357" operator="lessThan">
      <formula>G$9</formula>
    </cfRule>
  </conditionalFormatting>
  <conditionalFormatting sqref="M55">
    <cfRule type="cellIs" dxfId="1" priority="358" operator="lessThan">
      <formula>G$9</formula>
    </cfRule>
  </conditionalFormatting>
  <conditionalFormatting sqref="M56">
    <cfRule type="cellIs" dxfId="1" priority="359" operator="lessThan">
      <formula>G$9</formula>
    </cfRule>
  </conditionalFormatting>
  <conditionalFormatting sqref="M57">
    <cfRule type="cellIs" dxfId="1" priority="360" operator="lessThan">
      <formula>G$9</formula>
    </cfRule>
  </conditionalFormatting>
  <conditionalFormatting sqref="M58">
    <cfRule type="cellIs" dxfId="1" priority="361" operator="lessThan">
      <formula>G$9</formula>
    </cfRule>
  </conditionalFormatting>
  <conditionalFormatting sqref="M59">
    <cfRule type="cellIs" dxfId="1" priority="362" operator="lessThan">
      <formula>G$9</formula>
    </cfRule>
  </conditionalFormatting>
  <conditionalFormatting sqref="M60">
    <cfRule type="cellIs" dxfId="1" priority="363" operator="lessThan">
      <formula>G$9</formula>
    </cfRule>
  </conditionalFormatting>
  <conditionalFormatting sqref="M61">
    <cfRule type="cellIs" dxfId="1" priority="364" operator="lessThan">
      <formula>G$9</formula>
    </cfRule>
  </conditionalFormatting>
  <conditionalFormatting sqref="M62">
    <cfRule type="cellIs" dxfId="1" priority="365" operator="lessThan">
      <formula>G$9</formula>
    </cfRule>
  </conditionalFormatting>
  <conditionalFormatting sqref="N11">
    <cfRule type="cellIs" dxfId="1" priority="366" operator="lessThan">
      <formula>G$9</formula>
    </cfRule>
  </conditionalFormatting>
  <conditionalFormatting sqref="N12">
    <cfRule type="cellIs" dxfId="1" priority="367" operator="lessThan">
      <formula>G$9</formula>
    </cfRule>
  </conditionalFormatting>
  <conditionalFormatting sqref="N13">
    <cfRule type="cellIs" dxfId="1" priority="368" operator="lessThan">
      <formula>G$9</formula>
    </cfRule>
  </conditionalFormatting>
  <conditionalFormatting sqref="N14">
    <cfRule type="cellIs" dxfId="1" priority="369" operator="lessThan">
      <formula>G$9</formula>
    </cfRule>
  </conditionalFormatting>
  <conditionalFormatting sqref="N15">
    <cfRule type="cellIs" dxfId="1" priority="370" operator="lessThan">
      <formula>G$9</formula>
    </cfRule>
  </conditionalFormatting>
  <conditionalFormatting sqref="N16">
    <cfRule type="cellIs" dxfId="1" priority="371" operator="lessThan">
      <formula>G$9</formula>
    </cfRule>
  </conditionalFormatting>
  <conditionalFormatting sqref="N17">
    <cfRule type="cellIs" dxfId="1" priority="372" operator="lessThan">
      <formula>G$9</formula>
    </cfRule>
  </conditionalFormatting>
  <conditionalFormatting sqref="N18">
    <cfRule type="cellIs" dxfId="1" priority="373" operator="lessThan">
      <formula>G$9</formula>
    </cfRule>
  </conditionalFormatting>
  <conditionalFormatting sqref="N19">
    <cfRule type="cellIs" dxfId="1" priority="374" operator="lessThan">
      <formula>G$9</formula>
    </cfRule>
  </conditionalFormatting>
  <conditionalFormatting sqref="N20">
    <cfRule type="cellIs" dxfId="1" priority="375" operator="lessThan">
      <formula>G$9</formula>
    </cfRule>
  </conditionalFormatting>
  <conditionalFormatting sqref="N21">
    <cfRule type="cellIs" dxfId="1" priority="376" operator="lessThan">
      <formula>G$9</formula>
    </cfRule>
  </conditionalFormatting>
  <conditionalFormatting sqref="N22">
    <cfRule type="cellIs" dxfId="1" priority="377" operator="lessThan">
      <formula>G$9</formula>
    </cfRule>
  </conditionalFormatting>
  <conditionalFormatting sqref="N23">
    <cfRule type="cellIs" dxfId="1" priority="378" operator="lessThan">
      <formula>G$9</formula>
    </cfRule>
  </conditionalFormatting>
  <conditionalFormatting sqref="N24">
    <cfRule type="cellIs" dxfId="1" priority="379" operator="lessThan">
      <formula>G$9</formula>
    </cfRule>
  </conditionalFormatting>
  <conditionalFormatting sqref="N25">
    <cfRule type="cellIs" dxfId="1" priority="380" operator="lessThan">
      <formula>G$9</formula>
    </cfRule>
  </conditionalFormatting>
  <conditionalFormatting sqref="N26">
    <cfRule type="cellIs" dxfId="1" priority="381" operator="lessThan">
      <formula>G$9</formula>
    </cfRule>
  </conditionalFormatting>
  <conditionalFormatting sqref="N27">
    <cfRule type="cellIs" dxfId="1" priority="382" operator="lessThan">
      <formula>G$9</formula>
    </cfRule>
  </conditionalFormatting>
  <conditionalFormatting sqref="N28">
    <cfRule type="cellIs" dxfId="1" priority="383" operator="lessThan">
      <formula>G$9</formula>
    </cfRule>
  </conditionalFormatting>
  <conditionalFormatting sqref="N29">
    <cfRule type="cellIs" dxfId="1" priority="384" operator="lessThan">
      <formula>G$9</formula>
    </cfRule>
  </conditionalFormatting>
  <conditionalFormatting sqref="N30">
    <cfRule type="cellIs" dxfId="1" priority="385" operator="lessThan">
      <formula>G$9</formula>
    </cfRule>
  </conditionalFormatting>
  <conditionalFormatting sqref="N31">
    <cfRule type="cellIs" dxfId="1" priority="386" operator="lessThan">
      <formula>G$9</formula>
    </cfRule>
  </conditionalFormatting>
  <conditionalFormatting sqref="N32">
    <cfRule type="cellIs" dxfId="1" priority="387" operator="lessThan">
      <formula>G$9</formula>
    </cfRule>
  </conditionalFormatting>
  <conditionalFormatting sqref="N33">
    <cfRule type="cellIs" dxfId="1" priority="388" operator="lessThan">
      <formula>G$9</formula>
    </cfRule>
  </conditionalFormatting>
  <conditionalFormatting sqref="N34">
    <cfRule type="cellIs" dxfId="1" priority="389" operator="lessThan">
      <formula>G$9</formula>
    </cfRule>
  </conditionalFormatting>
  <conditionalFormatting sqref="N35">
    <cfRule type="cellIs" dxfId="1" priority="390" operator="lessThan">
      <formula>G$9</formula>
    </cfRule>
  </conditionalFormatting>
  <conditionalFormatting sqref="N36">
    <cfRule type="cellIs" dxfId="1" priority="391" operator="lessThan">
      <formula>G$9</formula>
    </cfRule>
  </conditionalFormatting>
  <conditionalFormatting sqref="N37">
    <cfRule type="cellIs" dxfId="1" priority="392" operator="lessThan">
      <formula>G$9</formula>
    </cfRule>
  </conditionalFormatting>
  <conditionalFormatting sqref="N38">
    <cfRule type="cellIs" dxfId="1" priority="393" operator="lessThan">
      <formula>G$9</formula>
    </cfRule>
  </conditionalFormatting>
  <conditionalFormatting sqref="N39">
    <cfRule type="cellIs" dxfId="1" priority="394" operator="lessThan">
      <formula>G$9</formula>
    </cfRule>
  </conditionalFormatting>
  <conditionalFormatting sqref="N40">
    <cfRule type="cellIs" dxfId="1" priority="395" operator="lessThan">
      <formula>G$9</formula>
    </cfRule>
  </conditionalFormatting>
  <conditionalFormatting sqref="N41">
    <cfRule type="cellIs" dxfId="1" priority="396" operator="lessThan">
      <formula>G$9</formula>
    </cfRule>
  </conditionalFormatting>
  <conditionalFormatting sqref="N42">
    <cfRule type="cellIs" dxfId="1" priority="397" operator="lessThan">
      <formula>G$9</formula>
    </cfRule>
  </conditionalFormatting>
  <conditionalFormatting sqref="N43">
    <cfRule type="cellIs" dxfId="1" priority="398" operator="lessThan">
      <formula>G$9</formula>
    </cfRule>
  </conditionalFormatting>
  <conditionalFormatting sqref="N44">
    <cfRule type="cellIs" dxfId="1" priority="399" operator="lessThan">
      <formula>G$9</formula>
    </cfRule>
  </conditionalFormatting>
  <conditionalFormatting sqref="N45">
    <cfRule type="cellIs" dxfId="1" priority="400" operator="lessThan">
      <formula>G$9</formula>
    </cfRule>
  </conditionalFormatting>
  <conditionalFormatting sqref="N46">
    <cfRule type="cellIs" dxfId="1" priority="401" operator="lessThan">
      <formula>G$9</formula>
    </cfRule>
  </conditionalFormatting>
  <conditionalFormatting sqref="N47">
    <cfRule type="cellIs" dxfId="1" priority="402" operator="lessThan">
      <formula>G$9</formula>
    </cfRule>
  </conditionalFormatting>
  <conditionalFormatting sqref="N48">
    <cfRule type="cellIs" dxfId="1" priority="403" operator="lessThan">
      <formula>G$9</formula>
    </cfRule>
  </conditionalFormatting>
  <conditionalFormatting sqref="N49">
    <cfRule type="cellIs" dxfId="1" priority="404" operator="lessThan">
      <formula>G$9</formula>
    </cfRule>
  </conditionalFormatting>
  <conditionalFormatting sqref="N50">
    <cfRule type="cellIs" dxfId="1" priority="405" operator="lessThan">
      <formula>G$9</formula>
    </cfRule>
  </conditionalFormatting>
  <conditionalFormatting sqref="N51">
    <cfRule type="cellIs" dxfId="1" priority="406" operator="lessThan">
      <formula>G$9</formula>
    </cfRule>
  </conditionalFormatting>
  <conditionalFormatting sqref="N52">
    <cfRule type="cellIs" dxfId="1" priority="407" operator="lessThan">
      <formula>G$9</formula>
    </cfRule>
  </conditionalFormatting>
  <conditionalFormatting sqref="N53">
    <cfRule type="cellIs" dxfId="1" priority="408" operator="lessThan">
      <formula>G$9</formula>
    </cfRule>
  </conditionalFormatting>
  <conditionalFormatting sqref="N54">
    <cfRule type="cellIs" dxfId="1" priority="409" operator="lessThan">
      <formula>G$9</formula>
    </cfRule>
  </conditionalFormatting>
  <conditionalFormatting sqref="N55">
    <cfRule type="cellIs" dxfId="1" priority="410" operator="lessThan">
      <formula>G$9</formula>
    </cfRule>
  </conditionalFormatting>
  <conditionalFormatting sqref="N56">
    <cfRule type="cellIs" dxfId="1" priority="411" operator="lessThan">
      <formula>G$9</formula>
    </cfRule>
  </conditionalFormatting>
  <conditionalFormatting sqref="N57">
    <cfRule type="cellIs" dxfId="1" priority="412" operator="lessThan">
      <formula>G$9</formula>
    </cfRule>
  </conditionalFormatting>
  <conditionalFormatting sqref="N58">
    <cfRule type="cellIs" dxfId="1" priority="413" operator="lessThan">
      <formula>G$9</formula>
    </cfRule>
  </conditionalFormatting>
  <conditionalFormatting sqref="N59">
    <cfRule type="cellIs" dxfId="1" priority="414" operator="lessThan">
      <formula>G$9</formula>
    </cfRule>
  </conditionalFormatting>
  <conditionalFormatting sqref="N60">
    <cfRule type="cellIs" dxfId="1" priority="415" operator="lessThan">
      <formula>G$9</formula>
    </cfRule>
  </conditionalFormatting>
  <conditionalFormatting sqref="N61">
    <cfRule type="cellIs" dxfId="1" priority="416" operator="lessThan">
      <formula>G$9</formula>
    </cfRule>
  </conditionalFormatting>
  <conditionalFormatting sqref="N62">
    <cfRule type="cellIs" dxfId="1" priority="417" operator="lessThan">
      <formula>G$9</formula>
    </cfRule>
  </conditionalFormatting>
  <conditionalFormatting sqref="O11">
    <cfRule type="cellIs" dxfId="1" priority="418" operator="lessThan">
      <formula>G$9</formula>
    </cfRule>
  </conditionalFormatting>
  <conditionalFormatting sqref="O12">
    <cfRule type="cellIs" dxfId="1" priority="419" operator="lessThan">
      <formula>G$9</formula>
    </cfRule>
  </conditionalFormatting>
  <conditionalFormatting sqref="O13">
    <cfRule type="cellIs" dxfId="1" priority="420" operator="lessThan">
      <formula>G$9</formula>
    </cfRule>
  </conditionalFormatting>
  <conditionalFormatting sqref="O14">
    <cfRule type="cellIs" dxfId="1" priority="421" operator="lessThan">
      <formula>G$9</formula>
    </cfRule>
  </conditionalFormatting>
  <conditionalFormatting sqref="O15">
    <cfRule type="cellIs" dxfId="1" priority="422" operator="lessThan">
      <formula>G$9</formula>
    </cfRule>
  </conditionalFormatting>
  <conditionalFormatting sqref="O16">
    <cfRule type="cellIs" dxfId="1" priority="423" operator="lessThan">
      <formula>G$9</formula>
    </cfRule>
  </conditionalFormatting>
  <conditionalFormatting sqref="O17">
    <cfRule type="cellIs" dxfId="1" priority="424" operator="lessThan">
      <formula>G$9</formula>
    </cfRule>
  </conditionalFormatting>
  <conditionalFormatting sqref="O18">
    <cfRule type="cellIs" dxfId="1" priority="425" operator="lessThan">
      <formula>G$9</formula>
    </cfRule>
  </conditionalFormatting>
  <conditionalFormatting sqref="O19">
    <cfRule type="cellIs" dxfId="1" priority="426" operator="lessThan">
      <formula>G$9</formula>
    </cfRule>
  </conditionalFormatting>
  <conditionalFormatting sqref="O20">
    <cfRule type="cellIs" dxfId="1" priority="427" operator="lessThan">
      <formula>G$9</formula>
    </cfRule>
  </conditionalFormatting>
  <conditionalFormatting sqref="O21">
    <cfRule type="cellIs" dxfId="1" priority="428" operator="lessThan">
      <formula>G$9</formula>
    </cfRule>
  </conditionalFormatting>
  <conditionalFormatting sqref="O22">
    <cfRule type="cellIs" dxfId="1" priority="429" operator="lessThan">
      <formula>G$9</formula>
    </cfRule>
  </conditionalFormatting>
  <conditionalFormatting sqref="O23">
    <cfRule type="cellIs" dxfId="1" priority="430" operator="lessThan">
      <formula>G$9</formula>
    </cfRule>
  </conditionalFormatting>
  <conditionalFormatting sqref="O24">
    <cfRule type="cellIs" dxfId="1" priority="431" operator="lessThan">
      <formula>G$9</formula>
    </cfRule>
  </conditionalFormatting>
  <conditionalFormatting sqref="O25">
    <cfRule type="cellIs" dxfId="1" priority="432" operator="lessThan">
      <formula>G$9</formula>
    </cfRule>
  </conditionalFormatting>
  <conditionalFormatting sqref="O26">
    <cfRule type="cellIs" dxfId="1" priority="433" operator="lessThan">
      <formula>G$9</formula>
    </cfRule>
  </conditionalFormatting>
  <conditionalFormatting sqref="O27">
    <cfRule type="cellIs" dxfId="1" priority="434" operator="lessThan">
      <formula>G$9</formula>
    </cfRule>
  </conditionalFormatting>
  <conditionalFormatting sqref="O28">
    <cfRule type="cellIs" dxfId="1" priority="435" operator="lessThan">
      <formula>G$9</formula>
    </cfRule>
  </conditionalFormatting>
  <conditionalFormatting sqref="O29">
    <cfRule type="cellIs" dxfId="1" priority="436" operator="lessThan">
      <formula>G$9</formula>
    </cfRule>
  </conditionalFormatting>
  <conditionalFormatting sqref="O30">
    <cfRule type="cellIs" dxfId="1" priority="437" operator="lessThan">
      <formula>G$9</formula>
    </cfRule>
  </conditionalFormatting>
  <conditionalFormatting sqref="O31">
    <cfRule type="cellIs" dxfId="1" priority="438" operator="lessThan">
      <formula>G$9</formula>
    </cfRule>
  </conditionalFormatting>
  <conditionalFormatting sqref="O32">
    <cfRule type="cellIs" dxfId="1" priority="439" operator="lessThan">
      <formula>G$9</formula>
    </cfRule>
  </conditionalFormatting>
  <conditionalFormatting sqref="O33">
    <cfRule type="cellIs" dxfId="1" priority="440" operator="lessThan">
      <formula>G$9</formula>
    </cfRule>
  </conditionalFormatting>
  <conditionalFormatting sqref="O34">
    <cfRule type="cellIs" dxfId="1" priority="441" operator="lessThan">
      <formula>G$9</formula>
    </cfRule>
  </conditionalFormatting>
  <conditionalFormatting sqref="O35">
    <cfRule type="cellIs" dxfId="1" priority="442" operator="lessThan">
      <formula>G$9</formula>
    </cfRule>
  </conditionalFormatting>
  <conditionalFormatting sqref="O36">
    <cfRule type="cellIs" dxfId="1" priority="443" operator="lessThan">
      <formula>G$9</formula>
    </cfRule>
  </conditionalFormatting>
  <conditionalFormatting sqref="O37">
    <cfRule type="cellIs" dxfId="1" priority="444" operator="lessThan">
      <formula>G$9</formula>
    </cfRule>
  </conditionalFormatting>
  <conditionalFormatting sqref="O38">
    <cfRule type="cellIs" dxfId="1" priority="445" operator="lessThan">
      <formula>G$9</formula>
    </cfRule>
  </conditionalFormatting>
  <conditionalFormatting sqref="O39">
    <cfRule type="cellIs" dxfId="1" priority="446" operator="lessThan">
      <formula>G$9</formula>
    </cfRule>
  </conditionalFormatting>
  <conditionalFormatting sqref="O40">
    <cfRule type="cellIs" dxfId="1" priority="447" operator="lessThan">
      <formula>G$9</formula>
    </cfRule>
  </conditionalFormatting>
  <conditionalFormatting sqref="O41">
    <cfRule type="cellIs" dxfId="1" priority="448" operator="lessThan">
      <formula>G$9</formula>
    </cfRule>
  </conditionalFormatting>
  <conditionalFormatting sqref="O42">
    <cfRule type="cellIs" dxfId="1" priority="449" operator="lessThan">
      <formula>G$9</formula>
    </cfRule>
  </conditionalFormatting>
  <conditionalFormatting sqref="O43">
    <cfRule type="cellIs" dxfId="1" priority="450" operator="lessThan">
      <formula>G$9</formula>
    </cfRule>
  </conditionalFormatting>
  <conditionalFormatting sqref="O44">
    <cfRule type="cellIs" dxfId="1" priority="451" operator="lessThan">
      <formula>G$9</formula>
    </cfRule>
  </conditionalFormatting>
  <conditionalFormatting sqref="O45">
    <cfRule type="cellIs" dxfId="1" priority="452" operator="lessThan">
      <formula>G$9</formula>
    </cfRule>
  </conditionalFormatting>
  <conditionalFormatting sqref="O46">
    <cfRule type="cellIs" dxfId="1" priority="453" operator="lessThan">
      <formula>G$9</formula>
    </cfRule>
  </conditionalFormatting>
  <conditionalFormatting sqref="O47">
    <cfRule type="cellIs" dxfId="1" priority="454" operator="lessThan">
      <formula>G$9</formula>
    </cfRule>
  </conditionalFormatting>
  <conditionalFormatting sqref="O48">
    <cfRule type="cellIs" dxfId="1" priority="455" operator="lessThan">
      <formula>G$9</formula>
    </cfRule>
  </conditionalFormatting>
  <conditionalFormatting sqref="O49">
    <cfRule type="cellIs" dxfId="1" priority="456" operator="lessThan">
      <formula>G$9</formula>
    </cfRule>
  </conditionalFormatting>
  <conditionalFormatting sqref="O50">
    <cfRule type="cellIs" dxfId="1" priority="457" operator="lessThan">
      <formula>G$9</formula>
    </cfRule>
  </conditionalFormatting>
  <conditionalFormatting sqref="O51">
    <cfRule type="cellIs" dxfId="1" priority="458" operator="lessThan">
      <formula>G$9</formula>
    </cfRule>
  </conditionalFormatting>
  <conditionalFormatting sqref="O52">
    <cfRule type="cellIs" dxfId="1" priority="459" operator="lessThan">
      <formula>G$9</formula>
    </cfRule>
  </conditionalFormatting>
  <conditionalFormatting sqref="O53">
    <cfRule type="cellIs" dxfId="1" priority="460" operator="lessThan">
      <formula>G$9</formula>
    </cfRule>
  </conditionalFormatting>
  <conditionalFormatting sqref="O54">
    <cfRule type="cellIs" dxfId="1" priority="461" operator="lessThan">
      <formula>G$9</formula>
    </cfRule>
  </conditionalFormatting>
  <conditionalFormatting sqref="O55">
    <cfRule type="cellIs" dxfId="1" priority="462" operator="lessThan">
      <formula>G$9</formula>
    </cfRule>
  </conditionalFormatting>
  <conditionalFormatting sqref="O56">
    <cfRule type="cellIs" dxfId="1" priority="463" operator="lessThan">
      <formula>G$9</formula>
    </cfRule>
  </conditionalFormatting>
  <conditionalFormatting sqref="O57">
    <cfRule type="cellIs" dxfId="1" priority="464" operator="lessThan">
      <formula>G$9</formula>
    </cfRule>
  </conditionalFormatting>
  <conditionalFormatting sqref="O58">
    <cfRule type="cellIs" dxfId="1" priority="465" operator="lessThan">
      <formula>G$9</formula>
    </cfRule>
  </conditionalFormatting>
  <conditionalFormatting sqref="O59">
    <cfRule type="cellIs" dxfId="1" priority="466" operator="lessThan">
      <formula>G$9</formula>
    </cfRule>
  </conditionalFormatting>
  <conditionalFormatting sqref="O60">
    <cfRule type="cellIs" dxfId="1" priority="467" operator="lessThan">
      <formula>G$9</formula>
    </cfRule>
  </conditionalFormatting>
  <conditionalFormatting sqref="O61">
    <cfRule type="cellIs" dxfId="1" priority="468" operator="lessThan">
      <formula>G$9</formula>
    </cfRule>
  </conditionalFormatting>
  <conditionalFormatting sqref="O62">
    <cfRule type="cellIs" dxfId="1" priority="469" operator="lessThan">
      <formula>G$9</formula>
    </cfRule>
  </conditionalFormatting>
  <conditionalFormatting sqref="P11">
    <cfRule type="cellIs" dxfId="1" priority="470" operator="lessThan">
      <formula>G$9</formula>
    </cfRule>
  </conditionalFormatting>
  <conditionalFormatting sqref="P12">
    <cfRule type="cellIs" dxfId="1" priority="471" operator="lessThan">
      <formula>G$9</formula>
    </cfRule>
  </conditionalFormatting>
  <conditionalFormatting sqref="P13">
    <cfRule type="cellIs" dxfId="1" priority="472" operator="lessThan">
      <formula>G$9</formula>
    </cfRule>
  </conditionalFormatting>
  <conditionalFormatting sqref="P14">
    <cfRule type="cellIs" dxfId="1" priority="473" operator="lessThan">
      <formula>G$9</formula>
    </cfRule>
  </conditionalFormatting>
  <conditionalFormatting sqref="P15">
    <cfRule type="cellIs" dxfId="1" priority="474" operator="lessThan">
      <formula>G$9</formula>
    </cfRule>
  </conditionalFormatting>
  <conditionalFormatting sqref="P16">
    <cfRule type="cellIs" dxfId="1" priority="475" operator="lessThan">
      <formula>G$9</formula>
    </cfRule>
  </conditionalFormatting>
  <conditionalFormatting sqref="P17">
    <cfRule type="cellIs" dxfId="1" priority="476" operator="lessThan">
      <formula>G$9</formula>
    </cfRule>
  </conditionalFormatting>
  <conditionalFormatting sqref="P18">
    <cfRule type="cellIs" dxfId="1" priority="477" operator="lessThan">
      <formula>G$9</formula>
    </cfRule>
  </conditionalFormatting>
  <conditionalFormatting sqref="P19">
    <cfRule type="cellIs" dxfId="1" priority="478" operator="lessThan">
      <formula>G$9</formula>
    </cfRule>
  </conditionalFormatting>
  <conditionalFormatting sqref="P20">
    <cfRule type="cellIs" dxfId="1" priority="479" operator="lessThan">
      <formula>G$9</formula>
    </cfRule>
  </conditionalFormatting>
  <conditionalFormatting sqref="P21">
    <cfRule type="cellIs" dxfId="1" priority="480" operator="lessThan">
      <formula>G$9</formula>
    </cfRule>
  </conditionalFormatting>
  <conditionalFormatting sqref="P22">
    <cfRule type="cellIs" dxfId="1" priority="481" operator="lessThan">
      <formula>G$9</formula>
    </cfRule>
  </conditionalFormatting>
  <conditionalFormatting sqref="P23">
    <cfRule type="cellIs" dxfId="1" priority="482" operator="lessThan">
      <formula>G$9</formula>
    </cfRule>
  </conditionalFormatting>
  <conditionalFormatting sqref="P24">
    <cfRule type="cellIs" dxfId="1" priority="483" operator="lessThan">
      <formula>G$9</formula>
    </cfRule>
  </conditionalFormatting>
  <conditionalFormatting sqref="P25">
    <cfRule type="cellIs" dxfId="1" priority="484" operator="lessThan">
      <formula>G$9</formula>
    </cfRule>
  </conditionalFormatting>
  <conditionalFormatting sqref="P26">
    <cfRule type="cellIs" dxfId="1" priority="485" operator="lessThan">
      <formula>G$9</formula>
    </cfRule>
  </conditionalFormatting>
  <conditionalFormatting sqref="P27">
    <cfRule type="cellIs" dxfId="1" priority="486" operator="lessThan">
      <formula>G$9</formula>
    </cfRule>
  </conditionalFormatting>
  <conditionalFormatting sqref="P28">
    <cfRule type="cellIs" dxfId="1" priority="487" operator="lessThan">
      <formula>G$9</formula>
    </cfRule>
  </conditionalFormatting>
  <conditionalFormatting sqref="P29">
    <cfRule type="cellIs" dxfId="1" priority="488" operator="lessThan">
      <formula>G$9</formula>
    </cfRule>
  </conditionalFormatting>
  <conditionalFormatting sqref="P30">
    <cfRule type="cellIs" dxfId="1" priority="489" operator="lessThan">
      <formula>G$9</formula>
    </cfRule>
  </conditionalFormatting>
  <conditionalFormatting sqref="P31">
    <cfRule type="cellIs" dxfId="1" priority="490" operator="lessThan">
      <formula>G$9</formula>
    </cfRule>
  </conditionalFormatting>
  <conditionalFormatting sqref="P32">
    <cfRule type="cellIs" dxfId="1" priority="491" operator="lessThan">
      <formula>G$9</formula>
    </cfRule>
  </conditionalFormatting>
  <conditionalFormatting sqref="P33">
    <cfRule type="cellIs" dxfId="1" priority="492" operator="lessThan">
      <formula>G$9</formula>
    </cfRule>
  </conditionalFormatting>
  <conditionalFormatting sqref="P34">
    <cfRule type="cellIs" dxfId="1" priority="493" operator="lessThan">
      <formula>G$9</formula>
    </cfRule>
  </conditionalFormatting>
  <conditionalFormatting sqref="P35">
    <cfRule type="cellIs" dxfId="1" priority="494" operator="lessThan">
      <formula>G$9</formula>
    </cfRule>
  </conditionalFormatting>
  <conditionalFormatting sqref="P36">
    <cfRule type="cellIs" dxfId="1" priority="495" operator="lessThan">
      <formula>G$9</formula>
    </cfRule>
  </conditionalFormatting>
  <conditionalFormatting sqref="P37">
    <cfRule type="cellIs" dxfId="1" priority="496" operator="lessThan">
      <formula>G$9</formula>
    </cfRule>
  </conditionalFormatting>
  <conditionalFormatting sqref="P38">
    <cfRule type="cellIs" dxfId="1" priority="497" operator="lessThan">
      <formula>G$9</formula>
    </cfRule>
  </conditionalFormatting>
  <conditionalFormatting sqref="P39">
    <cfRule type="cellIs" dxfId="1" priority="498" operator="lessThan">
      <formula>G$9</formula>
    </cfRule>
  </conditionalFormatting>
  <conditionalFormatting sqref="P40">
    <cfRule type="cellIs" dxfId="1" priority="499" operator="lessThan">
      <formula>G$9</formula>
    </cfRule>
  </conditionalFormatting>
  <conditionalFormatting sqref="P41">
    <cfRule type="cellIs" dxfId="1" priority="500" operator="lessThan">
      <formula>G$9</formula>
    </cfRule>
  </conditionalFormatting>
  <conditionalFormatting sqref="P42">
    <cfRule type="cellIs" dxfId="1" priority="501" operator="lessThan">
      <formula>G$9</formula>
    </cfRule>
  </conditionalFormatting>
  <conditionalFormatting sqref="P43">
    <cfRule type="cellIs" dxfId="1" priority="502" operator="lessThan">
      <formula>G$9</formula>
    </cfRule>
  </conditionalFormatting>
  <conditionalFormatting sqref="P44">
    <cfRule type="cellIs" dxfId="1" priority="503" operator="lessThan">
      <formula>G$9</formula>
    </cfRule>
  </conditionalFormatting>
  <conditionalFormatting sqref="P45">
    <cfRule type="cellIs" dxfId="1" priority="504" operator="lessThan">
      <formula>G$9</formula>
    </cfRule>
  </conditionalFormatting>
  <conditionalFormatting sqref="P46">
    <cfRule type="cellIs" dxfId="1" priority="505" operator="lessThan">
      <formula>G$9</formula>
    </cfRule>
  </conditionalFormatting>
  <conditionalFormatting sqref="P47">
    <cfRule type="cellIs" dxfId="1" priority="506" operator="lessThan">
      <formula>G$9</formula>
    </cfRule>
  </conditionalFormatting>
  <conditionalFormatting sqref="P48">
    <cfRule type="cellIs" dxfId="1" priority="507" operator="lessThan">
      <formula>G$9</formula>
    </cfRule>
  </conditionalFormatting>
  <conditionalFormatting sqref="P49">
    <cfRule type="cellIs" dxfId="1" priority="508" operator="lessThan">
      <formula>G$9</formula>
    </cfRule>
  </conditionalFormatting>
  <conditionalFormatting sqref="P50">
    <cfRule type="cellIs" dxfId="1" priority="509" operator="lessThan">
      <formula>G$9</formula>
    </cfRule>
  </conditionalFormatting>
  <conditionalFormatting sqref="P51">
    <cfRule type="cellIs" dxfId="1" priority="510" operator="lessThan">
      <formula>G$9</formula>
    </cfRule>
  </conditionalFormatting>
  <conditionalFormatting sqref="P52">
    <cfRule type="cellIs" dxfId="1" priority="511" operator="lessThan">
      <formula>G$9</formula>
    </cfRule>
  </conditionalFormatting>
  <conditionalFormatting sqref="P53">
    <cfRule type="cellIs" dxfId="1" priority="512" operator="lessThan">
      <formula>G$9</formula>
    </cfRule>
  </conditionalFormatting>
  <conditionalFormatting sqref="P54">
    <cfRule type="cellIs" dxfId="1" priority="513" operator="lessThan">
      <formula>G$9</formula>
    </cfRule>
  </conditionalFormatting>
  <conditionalFormatting sqref="P55">
    <cfRule type="cellIs" dxfId="1" priority="514" operator="lessThan">
      <formula>G$9</formula>
    </cfRule>
  </conditionalFormatting>
  <conditionalFormatting sqref="P56">
    <cfRule type="cellIs" dxfId="1" priority="515" operator="lessThan">
      <formula>G$9</formula>
    </cfRule>
  </conditionalFormatting>
  <conditionalFormatting sqref="P57">
    <cfRule type="cellIs" dxfId="1" priority="516" operator="lessThan">
      <formula>G$9</formula>
    </cfRule>
  </conditionalFormatting>
  <conditionalFormatting sqref="P58">
    <cfRule type="cellIs" dxfId="1" priority="517" operator="lessThan">
      <formula>G$9</formula>
    </cfRule>
  </conditionalFormatting>
  <conditionalFormatting sqref="P59">
    <cfRule type="cellIs" dxfId="1" priority="518" operator="lessThan">
      <formula>G$9</formula>
    </cfRule>
  </conditionalFormatting>
  <conditionalFormatting sqref="P60">
    <cfRule type="cellIs" dxfId="1" priority="519" operator="lessThan">
      <formula>G$9</formula>
    </cfRule>
  </conditionalFormatting>
  <conditionalFormatting sqref="P61">
    <cfRule type="cellIs" dxfId="1" priority="520" operator="lessThan">
      <formula>G$9</formula>
    </cfRule>
  </conditionalFormatting>
  <conditionalFormatting sqref="P62">
    <cfRule type="cellIs" dxfId="1" priority="521" operator="lessThan">
      <formula>G$9</formula>
    </cfRule>
  </conditionalFormatting>
  <conditionalFormatting sqref="Q11">
    <cfRule type="cellIs" dxfId="1" priority="522" operator="lessThan">
      <formula>G$9</formula>
    </cfRule>
  </conditionalFormatting>
  <conditionalFormatting sqref="Q12">
    <cfRule type="cellIs" dxfId="1" priority="523" operator="lessThan">
      <formula>G$9</formula>
    </cfRule>
  </conditionalFormatting>
  <conditionalFormatting sqref="Q13">
    <cfRule type="cellIs" dxfId="1" priority="524" operator="lessThan">
      <formula>G$9</formula>
    </cfRule>
  </conditionalFormatting>
  <conditionalFormatting sqref="Q14">
    <cfRule type="cellIs" dxfId="1" priority="525" operator="lessThan">
      <formula>G$9</formula>
    </cfRule>
  </conditionalFormatting>
  <conditionalFormatting sqref="Q15">
    <cfRule type="cellIs" dxfId="1" priority="526" operator="lessThan">
      <formula>G$9</formula>
    </cfRule>
  </conditionalFormatting>
  <conditionalFormatting sqref="Q16">
    <cfRule type="cellIs" dxfId="1" priority="527" operator="lessThan">
      <formula>G$9</formula>
    </cfRule>
  </conditionalFormatting>
  <conditionalFormatting sqref="Q17">
    <cfRule type="cellIs" dxfId="1" priority="528" operator="lessThan">
      <formula>G$9</formula>
    </cfRule>
  </conditionalFormatting>
  <conditionalFormatting sqref="Q18">
    <cfRule type="cellIs" dxfId="1" priority="529" operator="lessThan">
      <formula>G$9</formula>
    </cfRule>
  </conditionalFormatting>
  <conditionalFormatting sqref="Q19">
    <cfRule type="cellIs" dxfId="1" priority="530" operator="lessThan">
      <formula>G$9</formula>
    </cfRule>
  </conditionalFormatting>
  <conditionalFormatting sqref="Q20">
    <cfRule type="cellIs" dxfId="1" priority="531" operator="lessThan">
      <formula>G$9</formula>
    </cfRule>
  </conditionalFormatting>
  <conditionalFormatting sqref="Q21">
    <cfRule type="cellIs" dxfId="1" priority="532" operator="lessThan">
      <formula>G$9</formula>
    </cfRule>
  </conditionalFormatting>
  <conditionalFormatting sqref="Q22">
    <cfRule type="cellIs" dxfId="1" priority="533" operator="lessThan">
      <formula>G$9</formula>
    </cfRule>
  </conditionalFormatting>
  <conditionalFormatting sqref="Q23">
    <cfRule type="cellIs" dxfId="1" priority="534" operator="lessThan">
      <formula>G$9</formula>
    </cfRule>
  </conditionalFormatting>
  <conditionalFormatting sqref="Q24">
    <cfRule type="cellIs" dxfId="1" priority="535" operator="lessThan">
      <formula>G$9</formula>
    </cfRule>
  </conditionalFormatting>
  <conditionalFormatting sqref="Q25">
    <cfRule type="cellIs" dxfId="1" priority="536" operator="lessThan">
      <formula>G$9</formula>
    </cfRule>
  </conditionalFormatting>
  <conditionalFormatting sqref="Q26">
    <cfRule type="cellIs" dxfId="1" priority="537" operator="lessThan">
      <formula>G$9</formula>
    </cfRule>
  </conditionalFormatting>
  <conditionalFormatting sqref="Q27">
    <cfRule type="cellIs" dxfId="1" priority="538" operator="lessThan">
      <formula>G$9</formula>
    </cfRule>
  </conditionalFormatting>
  <conditionalFormatting sqref="Q28">
    <cfRule type="cellIs" dxfId="1" priority="539" operator="lessThan">
      <formula>G$9</formula>
    </cfRule>
  </conditionalFormatting>
  <conditionalFormatting sqref="Q29">
    <cfRule type="cellIs" dxfId="1" priority="540" operator="lessThan">
      <formula>G$9</formula>
    </cfRule>
  </conditionalFormatting>
  <conditionalFormatting sqref="Q30">
    <cfRule type="cellIs" dxfId="1" priority="541" operator="lessThan">
      <formula>G$9</formula>
    </cfRule>
  </conditionalFormatting>
  <conditionalFormatting sqref="Q31">
    <cfRule type="cellIs" dxfId="1" priority="542" operator="lessThan">
      <formula>G$9</formula>
    </cfRule>
  </conditionalFormatting>
  <conditionalFormatting sqref="Q32">
    <cfRule type="cellIs" dxfId="1" priority="543" operator="lessThan">
      <formula>G$9</formula>
    </cfRule>
  </conditionalFormatting>
  <conditionalFormatting sqref="Q33">
    <cfRule type="cellIs" dxfId="1" priority="544" operator="lessThan">
      <formula>G$9</formula>
    </cfRule>
  </conditionalFormatting>
  <conditionalFormatting sqref="Q34">
    <cfRule type="cellIs" dxfId="1" priority="545" operator="lessThan">
      <formula>G$9</formula>
    </cfRule>
  </conditionalFormatting>
  <conditionalFormatting sqref="Q35">
    <cfRule type="cellIs" dxfId="1" priority="546" operator="lessThan">
      <formula>G$9</formula>
    </cfRule>
  </conditionalFormatting>
  <conditionalFormatting sqref="Q36">
    <cfRule type="cellIs" dxfId="1" priority="547" operator="lessThan">
      <formula>G$9</formula>
    </cfRule>
  </conditionalFormatting>
  <conditionalFormatting sqref="Q37">
    <cfRule type="cellIs" dxfId="1" priority="548" operator="lessThan">
      <formula>G$9</formula>
    </cfRule>
  </conditionalFormatting>
  <conditionalFormatting sqref="Q38">
    <cfRule type="cellIs" dxfId="1" priority="549" operator="lessThan">
      <formula>G$9</formula>
    </cfRule>
  </conditionalFormatting>
  <conditionalFormatting sqref="Q39">
    <cfRule type="cellIs" dxfId="1" priority="550" operator="lessThan">
      <formula>G$9</formula>
    </cfRule>
  </conditionalFormatting>
  <conditionalFormatting sqref="Q40">
    <cfRule type="cellIs" dxfId="1" priority="551" operator="lessThan">
      <formula>G$9</formula>
    </cfRule>
  </conditionalFormatting>
  <conditionalFormatting sqref="Q41">
    <cfRule type="cellIs" dxfId="1" priority="552" operator="lessThan">
      <formula>G$9</formula>
    </cfRule>
  </conditionalFormatting>
  <conditionalFormatting sqref="Q42">
    <cfRule type="cellIs" dxfId="1" priority="553" operator="lessThan">
      <formula>G$9</formula>
    </cfRule>
  </conditionalFormatting>
  <conditionalFormatting sqref="Q43">
    <cfRule type="cellIs" dxfId="1" priority="554" operator="lessThan">
      <formula>G$9</formula>
    </cfRule>
  </conditionalFormatting>
  <conditionalFormatting sqref="Q44">
    <cfRule type="cellIs" dxfId="1" priority="555" operator="lessThan">
      <formula>G$9</formula>
    </cfRule>
  </conditionalFormatting>
  <conditionalFormatting sqref="Q45">
    <cfRule type="cellIs" dxfId="1" priority="556" operator="lessThan">
      <formula>G$9</formula>
    </cfRule>
  </conditionalFormatting>
  <conditionalFormatting sqref="Q46">
    <cfRule type="cellIs" dxfId="1" priority="557" operator="lessThan">
      <formula>G$9</formula>
    </cfRule>
  </conditionalFormatting>
  <conditionalFormatting sqref="Q47">
    <cfRule type="cellIs" dxfId="1" priority="558" operator="lessThan">
      <formula>G$9</formula>
    </cfRule>
  </conditionalFormatting>
  <conditionalFormatting sqref="Q48">
    <cfRule type="cellIs" dxfId="1" priority="559" operator="lessThan">
      <formula>G$9</formula>
    </cfRule>
  </conditionalFormatting>
  <conditionalFormatting sqref="Q49">
    <cfRule type="cellIs" dxfId="1" priority="560" operator="lessThan">
      <formula>G$9</formula>
    </cfRule>
  </conditionalFormatting>
  <conditionalFormatting sqref="Q50">
    <cfRule type="cellIs" dxfId="1" priority="561" operator="lessThan">
      <formula>G$9</formula>
    </cfRule>
  </conditionalFormatting>
  <conditionalFormatting sqref="Q51">
    <cfRule type="cellIs" dxfId="1" priority="562" operator="lessThan">
      <formula>G$9</formula>
    </cfRule>
  </conditionalFormatting>
  <conditionalFormatting sqref="Q52">
    <cfRule type="cellIs" dxfId="1" priority="563" operator="lessThan">
      <formula>G$9</formula>
    </cfRule>
  </conditionalFormatting>
  <conditionalFormatting sqref="Q53">
    <cfRule type="cellIs" dxfId="1" priority="564" operator="lessThan">
      <formula>G$9</formula>
    </cfRule>
  </conditionalFormatting>
  <conditionalFormatting sqref="Q54">
    <cfRule type="cellIs" dxfId="1" priority="565" operator="lessThan">
      <formula>G$9</formula>
    </cfRule>
  </conditionalFormatting>
  <conditionalFormatting sqref="Q55">
    <cfRule type="cellIs" dxfId="1" priority="566" operator="lessThan">
      <formula>G$9</formula>
    </cfRule>
  </conditionalFormatting>
  <conditionalFormatting sqref="Q56">
    <cfRule type="cellIs" dxfId="1" priority="567" operator="lessThan">
      <formula>G$9</formula>
    </cfRule>
  </conditionalFormatting>
  <conditionalFormatting sqref="Q57">
    <cfRule type="cellIs" dxfId="1" priority="568" operator="lessThan">
      <formula>G$9</formula>
    </cfRule>
  </conditionalFormatting>
  <conditionalFormatting sqref="Q58">
    <cfRule type="cellIs" dxfId="1" priority="569" operator="lessThan">
      <formula>G$9</formula>
    </cfRule>
  </conditionalFormatting>
  <conditionalFormatting sqref="Q59">
    <cfRule type="cellIs" dxfId="1" priority="570" operator="lessThan">
      <formula>G$9</formula>
    </cfRule>
  </conditionalFormatting>
  <conditionalFormatting sqref="Q60">
    <cfRule type="cellIs" dxfId="1" priority="571" operator="lessThan">
      <formula>G$9</formula>
    </cfRule>
  </conditionalFormatting>
  <conditionalFormatting sqref="Q61">
    <cfRule type="cellIs" dxfId="1" priority="572" operator="lessThan">
      <formula>G$9</formula>
    </cfRule>
  </conditionalFormatting>
  <conditionalFormatting sqref="Q62">
    <cfRule type="cellIs" dxfId="1" priority="573" operator="lessThan">
      <formula>G$9</formula>
    </cfRule>
  </conditionalFormatting>
  <conditionalFormatting sqref="R11">
    <cfRule type="cellIs" dxfId="1" priority="574" operator="lessThan">
      <formula>G$9</formula>
    </cfRule>
  </conditionalFormatting>
  <conditionalFormatting sqref="R12">
    <cfRule type="cellIs" dxfId="1" priority="575" operator="lessThan">
      <formula>G$9</formula>
    </cfRule>
  </conditionalFormatting>
  <conditionalFormatting sqref="R13">
    <cfRule type="cellIs" dxfId="1" priority="576" operator="lessThan">
      <formula>G$9</formula>
    </cfRule>
  </conditionalFormatting>
  <conditionalFormatting sqref="R14">
    <cfRule type="cellIs" dxfId="1" priority="577" operator="lessThan">
      <formula>G$9</formula>
    </cfRule>
  </conditionalFormatting>
  <conditionalFormatting sqref="R15">
    <cfRule type="cellIs" dxfId="1" priority="578" operator="lessThan">
      <formula>G$9</formula>
    </cfRule>
  </conditionalFormatting>
  <conditionalFormatting sqref="R16">
    <cfRule type="cellIs" dxfId="1" priority="579" operator="lessThan">
      <formula>G$9</formula>
    </cfRule>
  </conditionalFormatting>
  <conditionalFormatting sqref="R17">
    <cfRule type="cellIs" dxfId="1" priority="580" operator="lessThan">
      <formula>G$9</formula>
    </cfRule>
  </conditionalFormatting>
  <conditionalFormatting sqref="R18">
    <cfRule type="cellIs" dxfId="1" priority="581" operator="lessThan">
      <formula>G$9</formula>
    </cfRule>
  </conditionalFormatting>
  <conditionalFormatting sqref="R19">
    <cfRule type="cellIs" dxfId="1" priority="582" operator="lessThan">
      <formula>G$9</formula>
    </cfRule>
  </conditionalFormatting>
  <conditionalFormatting sqref="R20">
    <cfRule type="cellIs" dxfId="1" priority="583" operator="lessThan">
      <formula>G$9</formula>
    </cfRule>
  </conditionalFormatting>
  <conditionalFormatting sqref="R21">
    <cfRule type="cellIs" dxfId="1" priority="584" operator="lessThan">
      <formula>G$9</formula>
    </cfRule>
  </conditionalFormatting>
  <conditionalFormatting sqref="R22">
    <cfRule type="cellIs" dxfId="1" priority="585" operator="lessThan">
      <formula>G$9</formula>
    </cfRule>
  </conditionalFormatting>
  <conditionalFormatting sqref="R23">
    <cfRule type="cellIs" dxfId="1" priority="586" operator="lessThan">
      <formula>G$9</formula>
    </cfRule>
  </conditionalFormatting>
  <conditionalFormatting sqref="R24">
    <cfRule type="cellIs" dxfId="1" priority="587" operator="lessThan">
      <formula>G$9</formula>
    </cfRule>
  </conditionalFormatting>
  <conditionalFormatting sqref="R25">
    <cfRule type="cellIs" dxfId="1" priority="588" operator="lessThan">
      <formula>G$9</formula>
    </cfRule>
  </conditionalFormatting>
  <conditionalFormatting sqref="R26">
    <cfRule type="cellIs" dxfId="1" priority="589" operator="lessThan">
      <formula>G$9</formula>
    </cfRule>
  </conditionalFormatting>
  <conditionalFormatting sqref="R27">
    <cfRule type="cellIs" dxfId="1" priority="590" operator="lessThan">
      <formula>G$9</formula>
    </cfRule>
  </conditionalFormatting>
  <conditionalFormatting sqref="R28">
    <cfRule type="cellIs" dxfId="1" priority="591" operator="lessThan">
      <formula>G$9</formula>
    </cfRule>
  </conditionalFormatting>
  <conditionalFormatting sqref="R29">
    <cfRule type="cellIs" dxfId="1" priority="592" operator="lessThan">
      <formula>G$9</formula>
    </cfRule>
  </conditionalFormatting>
  <conditionalFormatting sqref="R30">
    <cfRule type="cellIs" dxfId="1" priority="593" operator="lessThan">
      <formula>G$9</formula>
    </cfRule>
  </conditionalFormatting>
  <conditionalFormatting sqref="R31">
    <cfRule type="cellIs" dxfId="1" priority="594" operator="lessThan">
      <formula>G$9</formula>
    </cfRule>
  </conditionalFormatting>
  <conditionalFormatting sqref="R32">
    <cfRule type="cellIs" dxfId="1" priority="595" operator="lessThan">
      <formula>G$9</formula>
    </cfRule>
  </conditionalFormatting>
  <conditionalFormatting sqref="R33">
    <cfRule type="cellIs" dxfId="1" priority="596" operator="lessThan">
      <formula>G$9</formula>
    </cfRule>
  </conditionalFormatting>
  <conditionalFormatting sqref="R34">
    <cfRule type="cellIs" dxfId="1" priority="597" operator="lessThan">
      <formula>G$9</formula>
    </cfRule>
  </conditionalFormatting>
  <conditionalFormatting sqref="R35">
    <cfRule type="cellIs" dxfId="1" priority="598" operator="lessThan">
      <formula>G$9</formula>
    </cfRule>
  </conditionalFormatting>
  <conditionalFormatting sqref="R36">
    <cfRule type="cellIs" dxfId="1" priority="599" operator="lessThan">
      <formula>G$9</formula>
    </cfRule>
  </conditionalFormatting>
  <conditionalFormatting sqref="R37">
    <cfRule type="cellIs" dxfId="1" priority="600" operator="lessThan">
      <formula>G$9</formula>
    </cfRule>
  </conditionalFormatting>
  <conditionalFormatting sqref="R38">
    <cfRule type="cellIs" dxfId="1" priority="601" operator="lessThan">
      <formula>G$9</formula>
    </cfRule>
  </conditionalFormatting>
  <conditionalFormatting sqref="R39">
    <cfRule type="cellIs" dxfId="1" priority="602" operator="lessThan">
      <formula>G$9</formula>
    </cfRule>
  </conditionalFormatting>
  <conditionalFormatting sqref="R40">
    <cfRule type="cellIs" dxfId="1" priority="603" operator="lessThan">
      <formula>G$9</formula>
    </cfRule>
  </conditionalFormatting>
  <conditionalFormatting sqref="R41">
    <cfRule type="cellIs" dxfId="1" priority="604" operator="lessThan">
      <formula>G$9</formula>
    </cfRule>
  </conditionalFormatting>
  <conditionalFormatting sqref="R42">
    <cfRule type="cellIs" dxfId="1" priority="605" operator="lessThan">
      <formula>G$9</formula>
    </cfRule>
  </conditionalFormatting>
  <conditionalFormatting sqref="R43">
    <cfRule type="cellIs" dxfId="1" priority="606" operator="lessThan">
      <formula>G$9</formula>
    </cfRule>
  </conditionalFormatting>
  <conditionalFormatting sqref="R44">
    <cfRule type="cellIs" dxfId="1" priority="607" operator="lessThan">
      <formula>G$9</formula>
    </cfRule>
  </conditionalFormatting>
  <conditionalFormatting sqref="R45">
    <cfRule type="cellIs" dxfId="1" priority="608" operator="lessThan">
      <formula>G$9</formula>
    </cfRule>
  </conditionalFormatting>
  <conditionalFormatting sqref="R46">
    <cfRule type="cellIs" dxfId="1" priority="609" operator="lessThan">
      <formula>G$9</formula>
    </cfRule>
  </conditionalFormatting>
  <conditionalFormatting sqref="R47">
    <cfRule type="cellIs" dxfId="1" priority="610" operator="lessThan">
      <formula>G$9</formula>
    </cfRule>
  </conditionalFormatting>
  <conditionalFormatting sqref="R48">
    <cfRule type="cellIs" dxfId="1" priority="611" operator="lessThan">
      <formula>G$9</formula>
    </cfRule>
  </conditionalFormatting>
  <conditionalFormatting sqref="R49">
    <cfRule type="cellIs" dxfId="1" priority="612" operator="lessThan">
      <formula>G$9</formula>
    </cfRule>
  </conditionalFormatting>
  <conditionalFormatting sqref="R50">
    <cfRule type="cellIs" dxfId="1" priority="613" operator="lessThan">
      <formula>G$9</formula>
    </cfRule>
  </conditionalFormatting>
  <conditionalFormatting sqref="R51">
    <cfRule type="cellIs" dxfId="1" priority="614" operator="lessThan">
      <formula>G$9</formula>
    </cfRule>
  </conditionalFormatting>
  <conditionalFormatting sqref="R52">
    <cfRule type="cellIs" dxfId="1" priority="615" operator="lessThan">
      <formula>G$9</formula>
    </cfRule>
  </conditionalFormatting>
  <conditionalFormatting sqref="R53">
    <cfRule type="cellIs" dxfId="1" priority="616" operator="lessThan">
      <formula>G$9</formula>
    </cfRule>
  </conditionalFormatting>
  <conditionalFormatting sqref="R54">
    <cfRule type="cellIs" dxfId="1" priority="617" operator="lessThan">
      <formula>G$9</formula>
    </cfRule>
  </conditionalFormatting>
  <conditionalFormatting sqref="R55">
    <cfRule type="cellIs" dxfId="1" priority="618" operator="lessThan">
      <formula>G$9</formula>
    </cfRule>
  </conditionalFormatting>
  <conditionalFormatting sqref="R56">
    <cfRule type="cellIs" dxfId="1" priority="619" operator="lessThan">
      <formula>G$9</formula>
    </cfRule>
  </conditionalFormatting>
  <conditionalFormatting sqref="R57">
    <cfRule type="cellIs" dxfId="1" priority="620" operator="lessThan">
      <formula>G$9</formula>
    </cfRule>
  </conditionalFormatting>
  <conditionalFormatting sqref="R58">
    <cfRule type="cellIs" dxfId="1" priority="621" operator="lessThan">
      <formula>G$9</formula>
    </cfRule>
  </conditionalFormatting>
  <conditionalFormatting sqref="R59">
    <cfRule type="cellIs" dxfId="1" priority="622" operator="lessThan">
      <formula>G$9</formula>
    </cfRule>
  </conditionalFormatting>
  <conditionalFormatting sqref="R60">
    <cfRule type="cellIs" dxfId="1" priority="623" operator="lessThan">
      <formula>G$9</formula>
    </cfRule>
  </conditionalFormatting>
  <conditionalFormatting sqref="R61">
    <cfRule type="cellIs" dxfId="1" priority="624" operator="lessThan">
      <formula>G$9</formula>
    </cfRule>
  </conditionalFormatting>
  <conditionalFormatting sqref="R62">
    <cfRule type="cellIs" dxfId="1" priority="625" operator="lessThan">
      <formula>G$9</formula>
    </cfRule>
  </conditionalFormatting>
  <conditionalFormatting sqref="S11">
    <cfRule type="cellIs" dxfId="1" priority="626" operator="lessThan">
      <formula>G$9</formula>
    </cfRule>
  </conditionalFormatting>
  <conditionalFormatting sqref="S12">
    <cfRule type="cellIs" dxfId="1" priority="627" operator="lessThan">
      <formula>G$9</formula>
    </cfRule>
  </conditionalFormatting>
  <conditionalFormatting sqref="S13">
    <cfRule type="cellIs" dxfId="1" priority="628" operator="lessThan">
      <formula>G$9</formula>
    </cfRule>
  </conditionalFormatting>
  <conditionalFormatting sqref="S14">
    <cfRule type="cellIs" dxfId="1" priority="629" operator="lessThan">
      <formula>G$9</formula>
    </cfRule>
  </conditionalFormatting>
  <conditionalFormatting sqref="S15">
    <cfRule type="cellIs" dxfId="1" priority="630" operator="lessThan">
      <formula>G$9</formula>
    </cfRule>
  </conditionalFormatting>
  <conditionalFormatting sqref="S16">
    <cfRule type="cellIs" dxfId="1" priority="631" operator="lessThan">
      <formula>G$9</formula>
    </cfRule>
  </conditionalFormatting>
  <conditionalFormatting sqref="S17">
    <cfRule type="cellIs" dxfId="1" priority="632" operator="lessThan">
      <formula>G$9</formula>
    </cfRule>
  </conditionalFormatting>
  <conditionalFormatting sqref="S18">
    <cfRule type="cellIs" dxfId="1" priority="633" operator="lessThan">
      <formula>G$9</formula>
    </cfRule>
  </conditionalFormatting>
  <conditionalFormatting sqref="S19">
    <cfRule type="cellIs" dxfId="1" priority="634" operator="lessThan">
      <formula>G$9</formula>
    </cfRule>
  </conditionalFormatting>
  <conditionalFormatting sqref="S20">
    <cfRule type="cellIs" dxfId="1" priority="635" operator="lessThan">
      <formula>G$9</formula>
    </cfRule>
  </conditionalFormatting>
  <conditionalFormatting sqref="S21">
    <cfRule type="cellIs" dxfId="1" priority="636" operator="lessThan">
      <formula>G$9</formula>
    </cfRule>
  </conditionalFormatting>
  <conditionalFormatting sqref="S22">
    <cfRule type="cellIs" dxfId="1" priority="637" operator="lessThan">
      <formula>G$9</formula>
    </cfRule>
  </conditionalFormatting>
  <conditionalFormatting sqref="S23">
    <cfRule type="cellIs" dxfId="1" priority="638" operator="lessThan">
      <formula>G$9</formula>
    </cfRule>
  </conditionalFormatting>
  <conditionalFormatting sqref="S24">
    <cfRule type="cellIs" dxfId="1" priority="639" operator="lessThan">
      <formula>G$9</formula>
    </cfRule>
  </conditionalFormatting>
  <conditionalFormatting sqref="S25">
    <cfRule type="cellIs" dxfId="1" priority="640" operator="lessThan">
      <formula>G$9</formula>
    </cfRule>
  </conditionalFormatting>
  <conditionalFormatting sqref="S26">
    <cfRule type="cellIs" dxfId="1" priority="641" operator="lessThan">
      <formula>G$9</formula>
    </cfRule>
  </conditionalFormatting>
  <conditionalFormatting sqref="S27">
    <cfRule type="cellIs" dxfId="1" priority="642" operator="lessThan">
      <formula>G$9</formula>
    </cfRule>
  </conditionalFormatting>
  <conditionalFormatting sqref="S28">
    <cfRule type="cellIs" dxfId="1" priority="643" operator="lessThan">
      <formula>G$9</formula>
    </cfRule>
  </conditionalFormatting>
  <conditionalFormatting sqref="S29">
    <cfRule type="cellIs" dxfId="1" priority="644" operator="lessThan">
      <formula>G$9</formula>
    </cfRule>
  </conditionalFormatting>
  <conditionalFormatting sqref="S30">
    <cfRule type="cellIs" dxfId="1" priority="645" operator="lessThan">
      <formula>G$9</formula>
    </cfRule>
  </conditionalFormatting>
  <conditionalFormatting sqref="S31">
    <cfRule type="cellIs" dxfId="1" priority="646" operator="lessThan">
      <formula>G$9</formula>
    </cfRule>
  </conditionalFormatting>
  <conditionalFormatting sqref="S32">
    <cfRule type="cellIs" dxfId="1" priority="647" operator="lessThan">
      <formula>G$9</formula>
    </cfRule>
  </conditionalFormatting>
  <conditionalFormatting sqref="S33">
    <cfRule type="cellIs" dxfId="1" priority="648" operator="lessThan">
      <formula>G$9</formula>
    </cfRule>
  </conditionalFormatting>
  <conditionalFormatting sqref="S34">
    <cfRule type="cellIs" dxfId="1" priority="649" operator="lessThan">
      <formula>G$9</formula>
    </cfRule>
  </conditionalFormatting>
  <conditionalFormatting sqref="S35">
    <cfRule type="cellIs" dxfId="1" priority="650" operator="lessThan">
      <formula>G$9</formula>
    </cfRule>
  </conditionalFormatting>
  <conditionalFormatting sqref="S36">
    <cfRule type="cellIs" dxfId="1" priority="651" operator="lessThan">
      <formula>G$9</formula>
    </cfRule>
  </conditionalFormatting>
  <conditionalFormatting sqref="S37">
    <cfRule type="cellIs" dxfId="1" priority="652" operator="lessThan">
      <formula>G$9</formula>
    </cfRule>
  </conditionalFormatting>
  <conditionalFormatting sqref="S38">
    <cfRule type="cellIs" dxfId="1" priority="653" operator="lessThan">
      <formula>G$9</formula>
    </cfRule>
  </conditionalFormatting>
  <conditionalFormatting sqref="S39">
    <cfRule type="cellIs" dxfId="1" priority="654" operator="lessThan">
      <formula>G$9</formula>
    </cfRule>
  </conditionalFormatting>
  <conditionalFormatting sqref="S40">
    <cfRule type="cellIs" dxfId="1" priority="655" operator="lessThan">
      <formula>G$9</formula>
    </cfRule>
  </conditionalFormatting>
  <conditionalFormatting sqref="S41">
    <cfRule type="cellIs" dxfId="1" priority="656" operator="lessThan">
      <formula>G$9</formula>
    </cfRule>
  </conditionalFormatting>
  <conditionalFormatting sqref="S42">
    <cfRule type="cellIs" dxfId="1" priority="657" operator="lessThan">
      <formula>G$9</formula>
    </cfRule>
  </conditionalFormatting>
  <conditionalFormatting sqref="S43">
    <cfRule type="cellIs" dxfId="1" priority="658" operator="lessThan">
      <formula>G$9</formula>
    </cfRule>
  </conditionalFormatting>
  <conditionalFormatting sqref="S44">
    <cfRule type="cellIs" dxfId="1" priority="659" operator="lessThan">
      <formula>G$9</formula>
    </cfRule>
  </conditionalFormatting>
  <conditionalFormatting sqref="S45">
    <cfRule type="cellIs" dxfId="1" priority="660" operator="lessThan">
      <formula>G$9</formula>
    </cfRule>
  </conditionalFormatting>
  <conditionalFormatting sqref="S46">
    <cfRule type="cellIs" dxfId="1" priority="661" operator="lessThan">
      <formula>G$9</formula>
    </cfRule>
  </conditionalFormatting>
  <conditionalFormatting sqref="S47">
    <cfRule type="cellIs" dxfId="1" priority="662" operator="lessThan">
      <formula>G$9</formula>
    </cfRule>
  </conditionalFormatting>
  <conditionalFormatting sqref="S48">
    <cfRule type="cellIs" dxfId="1" priority="663" operator="lessThan">
      <formula>G$9</formula>
    </cfRule>
  </conditionalFormatting>
  <conditionalFormatting sqref="S49">
    <cfRule type="cellIs" dxfId="1" priority="664" operator="lessThan">
      <formula>G$9</formula>
    </cfRule>
  </conditionalFormatting>
  <conditionalFormatting sqref="S50">
    <cfRule type="cellIs" dxfId="1" priority="665" operator="lessThan">
      <formula>G$9</formula>
    </cfRule>
  </conditionalFormatting>
  <conditionalFormatting sqref="S51">
    <cfRule type="cellIs" dxfId="1" priority="666" operator="lessThan">
      <formula>G$9</formula>
    </cfRule>
  </conditionalFormatting>
  <conditionalFormatting sqref="S52">
    <cfRule type="cellIs" dxfId="1" priority="667" operator="lessThan">
      <formula>G$9</formula>
    </cfRule>
  </conditionalFormatting>
  <conditionalFormatting sqref="S53">
    <cfRule type="cellIs" dxfId="1" priority="668" operator="lessThan">
      <formula>G$9</formula>
    </cfRule>
  </conditionalFormatting>
  <conditionalFormatting sqref="S54">
    <cfRule type="cellIs" dxfId="1" priority="669" operator="lessThan">
      <formula>G$9</formula>
    </cfRule>
  </conditionalFormatting>
  <conditionalFormatting sqref="S55">
    <cfRule type="cellIs" dxfId="1" priority="670" operator="lessThan">
      <formula>G$9</formula>
    </cfRule>
  </conditionalFormatting>
  <conditionalFormatting sqref="S56">
    <cfRule type="cellIs" dxfId="1" priority="671" operator="lessThan">
      <formula>G$9</formula>
    </cfRule>
  </conditionalFormatting>
  <conditionalFormatting sqref="S57">
    <cfRule type="cellIs" dxfId="1" priority="672" operator="lessThan">
      <formula>G$9</formula>
    </cfRule>
  </conditionalFormatting>
  <conditionalFormatting sqref="S58">
    <cfRule type="cellIs" dxfId="1" priority="673" operator="lessThan">
      <formula>G$9</formula>
    </cfRule>
  </conditionalFormatting>
  <conditionalFormatting sqref="S59">
    <cfRule type="cellIs" dxfId="1" priority="674" operator="lessThan">
      <formula>G$9</formula>
    </cfRule>
  </conditionalFormatting>
  <conditionalFormatting sqref="S60">
    <cfRule type="cellIs" dxfId="1" priority="675" operator="lessThan">
      <formula>G$9</formula>
    </cfRule>
  </conditionalFormatting>
  <conditionalFormatting sqref="S61">
    <cfRule type="cellIs" dxfId="1" priority="676" operator="lessThan">
      <formula>G$9</formula>
    </cfRule>
  </conditionalFormatting>
  <conditionalFormatting sqref="S62">
    <cfRule type="cellIs" dxfId="1" priority="677" operator="lessThan">
      <formula>G$9</formula>
    </cfRule>
  </conditionalFormatting>
  <conditionalFormatting sqref="T11">
    <cfRule type="cellIs" dxfId="1" priority="678" operator="lessThan">
      <formula>G$9</formula>
    </cfRule>
  </conditionalFormatting>
  <conditionalFormatting sqref="T12">
    <cfRule type="cellIs" dxfId="1" priority="679" operator="lessThan">
      <formula>G$9</formula>
    </cfRule>
  </conditionalFormatting>
  <conditionalFormatting sqref="T13">
    <cfRule type="cellIs" dxfId="1" priority="680" operator="lessThan">
      <formula>G$9</formula>
    </cfRule>
  </conditionalFormatting>
  <conditionalFormatting sqref="T14">
    <cfRule type="cellIs" dxfId="1" priority="681" operator="lessThan">
      <formula>G$9</formula>
    </cfRule>
  </conditionalFormatting>
  <conditionalFormatting sqref="T15">
    <cfRule type="cellIs" dxfId="1" priority="682" operator="lessThan">
      <formula>G$9</formula>
    </cfRule>
  </conditionalFormatting>
  <conditionalFormatting sqref="T16">
    <cfRule type="cellIs" dxfId="1" priority="683" operator="lessThan">
      <formula>G$9</formula>
    </cfRule>
  </conditionalFormatting>
  <conditionalFormatting sqref="T17">
    <cfRule type="cellIs" dxfId="1" priority="684" operator="lessThan">
      <formula>G$9</formula>
    </cfRule>
  </conditionalFormatting>
  <conditionalFormatting sqref="T18">
    <cfRule type="cellIs" dxfId="1" priority="685" operator="lessThan">
      <formula>G$9</formula>
    </cfRule>
  </conditionalFormatting>
  <conditionalFormatting sqref="T19">
    <cfRule type="cellIs" dxfId="1" priority="686" operator="lessThan">
      <formula>G$9</formula>
    </cfRule>
  </conditionalFormatting>
  <conditionalFormatting sqref="T20">
    <cfRule type="cellIs" dxfId="1" priority="687" operator="lessThan">
      <formula>G$9</formula>
    </cfRule>
  </conditionalFormatting>
  <conditionalFormatting sqref="T21">
    <cfRule type="cellIs" dxfId="1" priority="688" operator="lessThan">
      <formula>G$9</formula>
    </cfRule>
  </conditionalFormatting>
  <conditionalFormatting sqref="T22">
    <cfRule type="cellIs" dxfId="1" priority="689" operator="lessThan">
      <formula>G$9</formula>
    </cfRule>
  </conditionalFormatting>
  <conditionalFormatting sqref="T23">
    <cfRule type="cellIs" dxfId="1" priority="690" operator="lessThan">
      <formula>G$9</formula>
    </cfRule>
  </conditionalFormatting>
  <conditionalFormatting sqref="T24">
    <cfRule type="cellIs" dxfId="1" priority="691" operator="lessThan">
      <formula>G$9</formula>
    </cfRule>
  </conditionalFormatting>
  <conditionalFormatting sqref="T25">
    <cfRule type="cellIs" dxfId="1" priority="692" operator="lessThan">
      <formula>G$9</formula>
    </cfRule>
  </conditionalFormatting>
  <conditionalFormatting sqref="T26">
    <cfRule type="cellIs" dxfId="1" priority="693" operator="lessThan">
      <formula>G$9</formula>
    </cfRule>
  </conditionalFormatting>
  <conditionalFormatting sqref="T27">
    <cfRule type="cellIs" dxfId="1" priority="694" operator="lessThan">
      <formula>G$9</formula>
    </cfRule>
  </conditionalFormatting>
  <conditionalFormatting sqref="T28">
    <cfRule type="cellIs" dxfId="1" priority="695" operator="lessThan">
      <formula>G$9</formula>
    </cfRule>
  </conditionalFormatting>
  <conditionalFormatting sqref="T29">
    <cfRule type="cellIs" dxfId="1" priority="696" operator="lessThan">
      <formula>G$9</formula>
    </cfRule>
  </conditionalFormatting>
  <conditionalFormatting sqref="T30">
    <cfRule type="cellIs" dxfId="1" priority="697" operator="lessThan">
      <formula>G$9</formula>
    </cfRule>
  </conditionalFormatting>
  <conditionalFormatting sqref="T31">
    <cfRule type="cellIs" dxfId="1" priority="698" operator="lessThan">
      <formula>G$9</formula>
    </cfRule>
  </conditionalFormatting>
  <conditionalFormatting sqref="T32">
    <cfRule type="cellIs" dxfId="1" priority="699" operator="lessThan">
      <formula>G$9</formula>
    </cfRule>
  </conditionalFormatting>
  <conditionalFormatting sqref="T33">
    <cfRule type="cellIs" dxfId="1" priority="700" operator="lessThan">
      <formula>G$9</formula>
    </cfRule>
  </conditionalFormatting>
  <conditionalFormatting sqref="T34">
    <cfRule type="cellIs" dxfId="1" priority="701" operator="lessThan">
      <formula>G$9</formula>
    </cfRule>
  </conditionalFormatting>
  <conditionalFormatting sqref="T35">
    <cfRule type="cellIs" dxfId="1" priority="702" operator="lessThan">
      <formula>G$9</formula>
    </cfRule>
  </conditionalFormatting>
  <conditionalFormatting sqref="T36">
    <cfRule type="cellIs" dxfId="1" priority="703" operator="lessThan">
      <formula>G$9</formula>
    </cfRule>
  </conditionalFormatting>
  <conditionalFormatting sqref="T37">
    <cfRule type="cellIs" dxfId="1" priority="704" operator="lessThan">
      <formula>G$9</formula>
    </cfRule>
  </conditionalFormatting>
  <conditionalFormatting sqref="T38">
    <cfRule type="cellIs" dxfId="1" priority="705" operator="lessThan">
      <formula>G$9</formula>
    </cfRule>
  </conditionalFormatting>
  <conditionalFormatting sqref="T39">
    <cfRule type="cellIs" dxfId="1" priority="706" operator="lessThan">
      <formula>G$9</formula>
    </cfRule>
  </conditionalFormatting>
  <conditionalFormatting sqref="T40">
    <cfRule type="cellIs" dxfId="1" priority="707" operator="lessThan">
      <formula>G$9</formula>
    </cfRule>
  </conditionalFormatting>
  <conditionalFormatting sqref="T41">
    <cfRule type="cellIs" dxfId="1" priority="708" operator="lessThan">
      <formula>G$9</formula>
    </cfRule>
  </conditionalFormatting>
  <conditionalFormatting sqref="T42">
    <cfRule type="cellIs" dxfId="1" priority="709" operator="lessThan">
      <formula>G$9</formula>
    </cfRule>
  </conditionalFormatting>
  <conditionalFormatting sqref="T43">
    <cfRule type="cellIs" dxfId="1" priority="710" operator="lessThan">
      <formula>G$9</formula>
    </cfRule>
  </conditionalFormatting>
  <conditionalFormatting sqref="T44">
    <cfRule type="cellIs" dxfId="1" priority="711" operator="lessThan">
      <formula>G$9</formula>
    </cfRule>
  </conditionalFormatting>
  <conditionalFormatting sqref="T45">
    <cfRule type="cellIs" dxfId="1" priority="712" operator="lessThan">
      <formula>G$9</formula>
    </cfRule>
  </conditionalFormatting>
  <conditionalFormatting sqref="T46">
    <cfRule type="cellIs" dxfId="1" priority="713" operator="lessThan">
      <formula>G$9</formula>
    </cfRule>
  </conditionalFormatting>
  <conditionalFormatting sqref="T47">
    <cfRule type="cellIs" dxfId="1" priority="714" operator="lessThan">
      <formula>G$9</formula>
    </cfRule>
  </conditionalFormatting>
  <conditionalFormatting sqref="T48">
    <cfRule type="cellIs" dxfId="1" priority="715" operator="lessThan">
      <formula>G$9</formula>
    </cfRule>
  </conditionalFormatting>
  <conditionalFormatting sqref="T49">
    <cfRule type="cellIs" dxfId="1" priority="716" operator="lessThan">
      <formula>G$9</formula>
    </cfRule>
  </conditionalFormatting>
  <conditionalFormatting sqref="T50">
    <cfRule type="cellIs" dxfId="1" priority="717" operator="lessThan">
      <formula>G$9</formula>
    </cfRule>
  </conditionalFormatting>
  <conditionalFormatting sqref="T51">
    <cfRule type="cellIs" dxfId="1" priority="718" operator="lessThan">
      <formula>G$9</formula>
    </cfRule>
  </conditionalFormatting>
  <conditionalFormatting sqref="T52">
    <cfRule type="cellIs" dxfId="1" priority="719" operator="lessThan">
      <formula>G$9</formula>
    </cfRule>
  </conditionalFormatting>
  <conditionalFormatting sqref="T53">
    <cfRule type="cellIs" dxfId="1" priority="720" operator="lessThan">
      <formula>G$9</formula>
    </cfRule>
  </conditionalFormatting>
  <conditionalFormatting sqref="T54">
    <cfRule type="cellIs" dxfId="1" priority="721" operator="lessThan">
      <formula>G$9</formula>
    </cfRule>
  </conditionalFormatting>
  <conditionalFormatting sqref="T55">
    <cfRule type="cellIs" dxfId="1" priority="722" operator="lessThan">
      <formula>G$9</formula>
    </cfRule>
  </conditionalFormatting>
  <conditionalFormatting sqref="T56">
    <cfRule type="cellIs" dxfId="1" priority="723" operator="lessThan">
      <formula>G$9</formula>
    </cfRule>
  </conditionalFormatting>
  <conditionalFormatting sqref="T57">
    <cfRule type="cellIs" dxfId="1" priority="724" operator="lessThan">
      <formula>G$9</formula>
    </cfRule>
  </conditionalFormatting>
  <conditionalFormatting sqref="T58">
    <cfRule type="cellIs" dxfId="1" priority="725" operator="lessThan">
      <formula>G$9</formula>
    </cfRule>
  </conditionalFormatting>
  <conditionalFormatting sqref="T59">
    <cfRule type="cellIs" dxfId="1" priority="726" operator="lessThan">
      <formula>G$9</formula>
    </cfRule>
  </conditionalFormatting>
  <conditionalFormatting sqref="T60">
    <cfRule type="cellIs" dxfId="1" priority="727" operator="lessThan">
      <formula>G$9</formula>
    </cfRule>
  </conditionalFormatting>
  <conditionalFormatting sqref="T61">
    <cfRule type="cellIs" dxfId="1" priority="728" operator="lessThan">
      <formula>G$9</formula>
    </cfRule>
  </conditionalFormatting>
  <conditionalFormatting sqref="T62">
    <cfRule type="cellIs" dxfId="1" priority="729" operator="lessThan">
      <formula>G$9</formula>
    </cfRule>
  </conditionalFormatting>
  <conditionalFormatting sqref="U11">
    <cfRule type="cellIs" dxfId="1" priority="730" operator="lessThan">
      <formula>G$9</formula>
    </cfRule>
  </conditionalFormatting>
  <conditionalFormatting sqref="U12">
    <cfRule type="cellIs" dxfId="1" priority="731" operator="lessThan">
      <formula>G$9</formula>
    </cfRule>
  </conditionalFormatting>
  <conditionalFormatting sqref="U13">
    <cfRule type="cellIs" dxfId="1" priority="732" operator="lessThan">
      <formula>G$9</formula>
    </cfRule>
  </conditionalFormatting>
  <conditionalFormatting sqref="U14">
    <cfRule type="cellIs" dxfId="1" priority="733" operator="lessThan">
      <formula>G$9</formula>
    </cfRule>
  </conditionalFormatting>
  <conditionalFormatting sqref="U15">
    <cfRule type="cellIs" dxfId="1" priority="734" operator="lessThan">
      <formula>G$9</formula>
    </cfRule>
  </conditionalFormatting>
  <conditionalFormatting sqref="U16">
    <cfRule type="cellIs" dxfId="1" priority="735" operator="lessThan">
      <formula>G$9</formula>
    </cfRule>
  </conditionalFormatting>
  <conditionalFormatting sqref="U17">
    <cfRule type="cellIs" dxfId="1" priority="736" operator="lessThan">
      <formula>G$9</formula>
    </cfRule>
  </conditionalFormatting>
  <conditionalFormatting sqref="U18">
    <cfRule type="cellIs" dxfId="1" priority="737" operator="lessThan">
      <formula>G$9</formula>
    </cfRule>
  </conditionalFormatting>
  <conditionalFormatting sqref="U19">
    <cfRule type="cellIs" dxfId="1" priority="738" operator="lessThan">
      <formula>G$9</formula>
    </cfRule>
  </conditionalFormatting>
  <conditionalFormatting sqref="U20">
    <cfRule type="cellIs" dxfId="1" priority="739" operator="lessThan">
      <formula>G$9</formula>
    </cfRule>
  </conditionalFormatting>
  <conditionalFormatting sqref="U21">
    <cfRule type="cellIs" dxfId="1" priority="740" operator="lessThan">
      <formula>G$9</formula>
    </cfRule>
  </conditionalFormatting>
  <conditionalFormatting sqref="U22">
    <cfRule type="cellIs" dxfId="1" priority="741" operator="lessThan">
      <formula>G$9</formula>
    </cfRule>
  </conditionalFormatting>
  <conditionalFormatting sqref="U23">
    <cfRule type="cellIs" dxfId="1" priority="742" operator="lessThan">
      <formula>G$9</formula>
    </cfRule>
  </conditionalFormatting>
  <conditionalFormatting sqref="U24">
    <cfRule type="cellIs" dxfId="1" priority="743" operator="lessThan">
      <formula>G$9</formula>
    </cfRule>
  </conditionalFormatting>
  <conditionalFormatting sqref="U25">
    <cfRule type="cellIs" dxfId="1" priority="744" operator="lessThan">
      <formula>G$9</formula>
    </cfRule>
  </conditionalFormatting>
  <conditionalFormatting sqref="U26">
    <cfRule type="cellIs" dxfId="1" priority="745" operator="lessThan">
      <formula>G$9</formula>
    </cfRule>
  </conditionalFormatting>
  <conditionalFormatting sqref="U27">
    <cfRule type="cellIs" dxfId="1" priority="746" operator="lessThan">
      <formula>G$9</formula>
    </cfRule>
  </conditionalFormatting>
  <conditionalFormatting sqref="U28">
    <cfRule type="cellIs" dxfId="1" priority="747" operator="lessThan">
      <formula>G$9</formula>
    </cfRule>
  </conditionalFormatting>
  <conditionalFormatting sqref="U29">
    <cfRule type="cellIs" dxfId="1" priority="748" operator="lessThan">
      <formula>G$9</formula>
    </cfRule>
  </conditionalFormatting>
  <conditionalFormatting sqref="U30">
    <cfRule type="cellIs" dxfId="1" priority="749" operator="lessThan">
      <formula>G$9</formula>
    </cfRule>
  </conditionalFormatting>
  <conditionalFormatting sqref="U31">
    <cfRule type="cellIs" dxfId="1" priority="750" operator="lessThan">
      <formula>G$9</formula>
    </cfRule>
  </conditionalFormatting>
  <conditionalFormatting sqref="U32">
    <cfRule type="cellIs" dxfId="1" priority="751" operator="lessThan">
      <formula>G$9</formula>
    </cfRule>
  </conditionalFormatting>
  <conditionalFormatting sqref="U33">
    <cfRule type="cellIs" dxfId="1" priority="752" operator="lessThan">
      <formula>G$9</formula>
    </cfRule>
  </conditionalFormatting>
  <conditionalFormatting sqref="U34">
    <cfRule type="cellIs" dxfId="1" priority="753" operator="lessThan">
      <formula>G$9</formula>
    </cfRule>
  </conditionalFormatting>
  <conditionalFormatting sqref="U35">
    <cfRule type="cellIs" dxfId="1" priority="754" operator="lessThan">
      <formula>G$9</formula>
    </cfRule>
  </conditionalFormatting>
  <conditionalFormatting sqref="U36">
    <cfRule type="cellIs" dxfId="1" priority="755" operator="lessThan">
      <formula>G$9</formula>
    </cfRule>
  </conditionalFormatting>
  <conditionalFormatting sqref="U37">
    <cfRule type="cellIs" dxfId="1" priority="756" operator="lessThan">
      <formula>G$9</formula>
    </cfRule>
  </conditionalFormatting>
  <conditionalFormatting sqref="U38">
    <cfRule type="cellIs" dxfId="1" priority="757" operator="lessThan">
      <formula>G$9</formula>
    </cfRule>
  </conditionalFormatting>
  <conditionalFormatting sqref="U39">
    <cfRule type="cellIs" dxfId="1" priority="758" operator="lessThan">
      <formula>G$9</formula>
    </cfRule>
  </conditionalFormatting>
  <conditionalFormatting sqref="U40">
    <cfRule type="cellIs" dxfId="1" priority="759" operator="lessThan">
      <formula>G$9</formula>
    </cfRule>
  </conditionalFormatting>
  <conditionalFormatting sqref="U41">
    <cfRule type="cellIs" dxfId="1" priority="760" operator="lessThan">
      <formula>G$9</formula>
    </cfRule>
  </conditionalFormatting>
  <conditionalFormatting sqref="U42">
    <cfRule type="cellIs" dxfId="1" priority="761" operator="lessThan">
      <formula>G$9</formula>
    </cfRule>
  </conditionalFormatting>
  <conditionalFormatting sqref="U43">
    <cfRule type="cellIs" dxfId="1" priority="762" operator="lessThan">
      <formula>G$9</formula>
    </cfRule>
  </conditionalFormatting>
  <conditionalFormatting sqref="U44">
    <cfRule type="cellIs" dxfId="1" priority="763" operator="lessThan">
      <formula>G$9</formula>
    </cfRule>
  </conditionalFormatting>
  <conditionalFormatting sqref="U45">
    <cfRule type="cellIs" dxfId="1" priority="764" operator="lessThan">
      <formula>G$9</formula>
    </cfRule>
  </conditionalFormatting>
  <conditionalFormatting sqref="U46">
    <cfRule type="cellIs" dxfId="1" priority="765" operator="lessThan">
      <formula>G$9</formula>
    </cfRule>
  </conditionalFormatting>
  <conditionalFormatting sqref="U47">
    <cfRule type="cellIs" dxfId="1" priority="766" operator="lessThan">
      <formula>G$9</formula>
    </cfRule>
  </conditionalFormatting>
  <conditionalFormatting sqref="U48">
    <cfRule type="cellIs" dxfId="1" priority="767" operator="lessThan">
      <formula>G$9</formula>
    </cfRule>
  </conditionalFormatting>
  <conditionalFormatting sqref="U49">
    <cfRule type="cellIs" dxfId="1" priority="768" operator="lessThan">
      <formula>G$9</formula>
    </cfRule>
  </conditionalFormatting>
  <conditionalFormatting sqref="U50">
    <cfRule type="cellIs" dxfId="1" priority="769" operator="lessThan">
      <formula>G$9</formula>
    </cfRule>
  </conditionalFormatting>
  <conditionalFormatting sqref="U51">
    <cfRule type="cellIs" dxfId="1" priority="770" operator="lessThan">
      <formula>G$9</formula>
    </cfRule>
  </conditionalFormatting>
  <conditionalFormatting sqref="U52">
    <cfRule type="cellIs" dxfId="1" priority="771" operator="lessThan">
      <formula>G$9</formula>
    </cfRule>
  </conditionalFormatting>
  <conditionalFormatting sqref="U53">
    <cfRule type="cellIs" dxfId="1" priority="772" operator="lessThan">
      <formula>G$9</formula>
    </cfRule>
  </conditionalFormatting>
  <conditionalFormatting sqref="U54">
    <cfRule type="cellIs" dxfId="1" priority="773" operator="lessThan">
      <formula>G$9</formula>
    </cfRule>
  </conditionalFormatting>
  <conditionalFormatting sqref="U55">
    <cfRule type="cellIs" dxfId="1" priority="774" operator="lessThan">
      <formula>G$9</formula>
    </cfRule>
  </conditionalFormatting>
  <conditionalFormatting sqref="U56">
    <cfRule type="cellIs" dxfId="1" priority="775" operator="lessThan">
      <formula>G$9</formula>
    </cfRule>
  </conditionalFormatting>
  <conditionalFormatting sqref="U57">
    <cfRule type="cellIs" dxfId="1" priority="776" operator="lessThan">
      <formula>G$9</formula>
    </cfRule>
  </conditionalFormatting>
  <conditionalFormatting sqref="U58">
    <cfRule type="cellIs" dxfId="1" priority="777" operator="lessThan">
      <formula>G$9</formula>
    </cfRule>
  </conditionalFormatting>
  <conditionalFormatting sqref="U59">
    <cfRule type="cellIs" dxfId="1" priority="778" operator="lessThan">
      <formula>G$9</formula>
    </cfRule>
  </conditionalFormatting>
  <conditionalFormatting sqref="U60">
    <cfRule type="cellIs" dxfId="1" priority="779" operator="lessThan">
      <formula>G$9</formula>
    </cfRule>
  </conditionalFormatting>
  <conditionalFormatting sqref="U61">
    <cfRule type="cellIs" dxfId="1" priority="780" operator="lessThan">
      <formula>G$9</formula>
    </cfRule>
  </conditionalFormatting>
  <conditionalFormatting sqref="U62">
    <cfRule type="cellIs" dxfId="1" priority="781" operator="lessThan">
      <formula>G$9</formula>
    </cfRule>
  </conditionalFormatting>
  <conditionalFormatting sqref="V11">
    <cfRule type="cellIs" dxfId="1" priority="782" operator="lessThan">
      <formula>G$9</formula>
    </cfRule>
  </conditionalFormatting>
  <conditionalFormatting sqref="V12">
    <cfRule type="cellIs" dxfId="1" priority="783" operator="lessThan">
      <formula>G$9</formula>
    </cfRule>
  </conditionalFormatting>
  <conditionalFormatting sqref="V13">
    <cfRule type="cellIs" dxfId="1" priority="784" operator="lessThan">
      <formula>G$9</formula>
    </cfRule>
  </conditionalFormatting>
  <conditionalFormatting sqref="V14">
    <cfRule type="cellIs" dxfId="1" priority="785" operator="lessThan">
      <formula>G$9</formula>
    </cfRule>
  </conditionalFormatting>
  <conditionalFormatting sqref="V15">
    <cfRule type="cellIs" dxfId="1" priority="786" operator="lessThan">
      <formula>G$9</formula>
    </cfRule>
  </conditionalFormatting>
  <conditionalFormatting sqref="V16">
    <cfRule type="cellIs" dxfId="1" priority="787" operator="lessThan">
      <formula>G$9</formula>
    </cfRule>
  </conditionalFormatting>
  <conditionalFormatting sqref="V17">
    <cfRule type="cellIs" dxfId="1" priority="788" operator="lessThan">
      <formula>G$9</formula>
    </cfRule>
  </conditionalFormatting>
  <conditionalFormatting sqref="V18">
    <cfRule type="cellIs" dxfId="1" priority="789" operator="lessThan">
      <formula>G$9</formula>
    </cfRule>
  </conditionalFormatting>
  <conditionalFormatting sqref="V19">
    <cfRule type="cellIs" dxfId="1" priority="790" operator="lessThan">
      <formula>G$9</formula>
    </cfRule>
  </conditionalFormatting>
  <conditionalFormatting sqref="V20">
    <cfRule type="cellIs" dxfId="1" priority="791" operator="lessThan">
      <formula>G$9</formula>
    </cfRule>
  </conditionalFormatting>
  <conditionalFormatting sqref="V21">
    <cfRule type="cellIs" dxfId="1" priority="792" operator="lessThan">
      <formula>G$9</formula>
    </cfRule>
  </conditionalFormatting>
  <conditionalFormatting sqref="V22">
    <cfRule type="cellIs" dxfId="1" priority="793" operator="lessThan">
      <formula>G$9</formula>
    </cfRule>
  </conditionalFormatting>
  <conditionalFormatting sqref="V23">
    <cfRule type="cellIs" dxfId="1" priority="794" operator="lessThan">
      <formula>G$9</formula>
    </cfRule>
  </conditionalFormatting>
  <conditionalFormatting sqref="V24">
    <cfRule type="cellIs" dxfId="1" priority="795" operator="lessThan">
      <formula>G$9</formula>
    </cfRule>
  </conditionalFormatting>
  <conditionalFormatting sqref="V25">
    <cfRule type="cellIs" dxfId="1" priority="796" operator="lessThan">
      <formula>G$9</formula>
    </cfRule>
  </conditionalFormatting>
  <conditionalFormatting sqref="V26">
    <cfRule type="cellIs" dxfId="1" priority="797" operator="lessThan">
      <formula>G$9</formula>
    </cfRule>
  </conditionalFormatting>
  <conditionalFormatting sqref="V27">
    <cfRule type="cellIs" dxfId="1" priority="798" operator="lessThan">
      <formula>G$9</formula>
    </cfRule>
  </conditionalFormatting>
  <conditionalFormatting sqref="V28">
    <cfRule type="cellIs" dxfId="1" priority="799" operator="lessThan">
      <formula>G$9</formula>
    </cfRule>
  </conditionalFormatting>
  <conditionalFormatting sqref="V29">
    <cfRule type="cellIs" dxfId="1" priority="800" operator="lessThan">
      <formula>G$9</formula>
    </cfRule>
  </conditionalFormatting>
  <conditionalFormatting sqref="V30">
    <cfRule type="cellIs" dxfId="1" priority="801" operator="lessThan">
      <formula>G$9</formula>
    </cfRule>
  </conditionalFormatting>
  <conditionalFormatting sqref="V31">
    <cfRule type="cellIs" dxfId="1" priority="802" operator="lessThan">
      <formula>G$9</formula>
    </cfRule>
  </conditionalFormatting>
  <conditionalFormatting sqref="V32">
    <cfRule type="cellIs" dxfId="1" priority="803" operator="lessThan">
      <formula>G$9</formula>
    </cfRule>
  </conditionalFormatting>
  <conditionalFormatting sqref="V33">
    <cfRule type="cellIs" dxfId="1" priority="804" operator="lessThan">
      <formula>G$9</formula>
    </cfRule>
  </conditionalFormatting>
  <conditionalFormatting sqref="V34">
    <cfRule type="cellIs" dxfId="1" priority="805" operator="lessThan">
      <formula>G$9</formula>
    </cfRule>
  </conditionalFormatting>
  <conditionalFormatting sqref="V35">
    <cfRule type="cellIs" dxfId="1" priority="806" operator="lessThan">
      <formula>G$9</formula>
    </cfRule>
  </conditionalFormatting>
  <conditionalFormatting sqref="V36">
    <cfRule type="cellIs" dxfId="1" priority="807" operator="lessThan">
      <formula>G$9</formula>
    </cfRule>
  </conditionalFormatting>
  <conditionalFormatting sqref="V37">
    <cfRule type="cellIs" dxfId="1" priority="808" operator="lessThan">
      <formula>G$9</formula>
    </cfRule>
  </conditionalFormatting>
  <conditionalFormatting sqref="V38">
    <cfRule type="cellIs" dxfId="1" priority="809" operator="lessThan">
      <formula>G$9</formula>
    </cfRule>
  </conditionalFormatting>
  <conditionalFormatting sqref="V39">
    <cfRule type="cellIs" dxfId="1" priority="810" operator="lessThan">
      <formula>G$9</formula>
    </cfRule>
  </conditionalFormatting>
  <conditionalFormatting sqref="V40">
    <cfRule type="cellIs" dxfId="1" priority="811" operator="lessThan">
      <formula>G$9</formula>
    </cfRule>
  </conditionalFormatting>
  <conditionalFormatting sqref="V41">
    <cfRule type="cellIs" dxfId="1" priority="812" operator="lessThan">
      <formula>G$9</formula>
    </cfRule>
  </conditionalFormatting>
  <conditionalFormatting sqref="V42">
    <cfRule type="cellIs" dxfId="1" priority="813" operator="lessThan">
      <formula>G$9</formula>
    </cfRule>
  </conditionalFormatting>
  <conditionalFormatting sqref="V43">
    <cfRule type="cellIs" dxfId="1" priority="814" operator="lessThan">
      <formula>G$9</formula>
    </cfRule>
  </conditionalFormatting>
  <conditionalFormatting sqref="V44">
    <cfRule type="cellIs" dxfId="1" priority="815" operator="lessThan">
      <formula>G$9</formula>
    </cfRule>
  </conditionalFormatting>
  <conditionalFormatting sqref="V45">
    <cfRule type="cellIs" dxfId="1" priority="816" operator="lessThan">
      <formula>G$9</formula>
    </cfRule>
  </conditionalFormatting>
  <conditionalFormatting sqref="V46">
    <cfRule type="cellIs" dxfId="1" priority="817" operator="lessThan">
      <formula>G$9</formula>
    </cfRule>
  </conditionalFormatting>
  <conditionalFormatting sqref="V47">
    <cfRule type="cellIs" dxfId="1" priority="818" operator="lessThan">
      <formula>G$9</formula>
    </cfRule>
  </conditionalFormatting>
  <conditionalFormatting sqref="V48">
    <cfRule type="cellIs" dxfId="1" priority="819" operator="lessThan">
      <formula>G$9</formula>
    </cfRule>
  </conditionalFormatting>
  <conditionalFormatting sqref="V49">
    <cfRule type="cellIs" dxfId="1" priority="820" operator="lessThan">
      <formula>G$9</formula>
    </cfRule>
  </conditionalFormatting>
  <conditionalFormatting sqref="V50">
    <cfRule type="cellIs" dxfId="1" priority="821" operator="lessThan">
      <formula>G$9</formula>
    </cfRule>
  </conditionalFormatting>
  <conditionalFormatting sqref="V51">
    <cfRule type="cellIs" dxfId="1" priority="822" operator="lessThan">
      <formula>G$9</formula>
    </cfRule>
  </conditionalFormatting>
  <conditionalFormatting sqref="V52">
    <cfRule type="cellIs" dxfId="1" priority="823" operator="lessThan">
      <formula>G$9</formula>
    </cfRule>
  </conditionalFormatting>
  <conditionalFormatting sqref="V53">
    <cfRule type="cellIs" dxfId="1" priority="824" operator="lessThan">
      <formula>G$9</formula>
    </cfRule>
  </conditionalFormatting>
  <conditionalFormatting sqref="V54">
    <cfRule type="cellIs" dxfId="1" priority="825" operator="lessThan">
      <formula>G$9</formula>
    </cfRule>
  </conditionalFormatting>
  <conditionalFormatting sqref="V55">
    <cfRule type="cellIs" dxfId="1" priority="826" operator="lessThan">
      <formula>G$9</formula>
    </cfRule>
  </conditionalFormatting>
  <conditionalFormatting sqref="V56">
    <cfRule type="cellIs" dxfId="1" priority="827" operator="lessThan">
      <formula>G$9</formula>
    </cfRule>
  </conditionalFormatting>
  <conditionalFormatting sqref="V57">
    <cfRule type="cellIs" dxfId="1" priority="828" operator="lessThan">
      <formula>G$9</formula>
    </cfRule>
  </conditionalFormatting>
  <conditionalFormatting sqref="V58">
    <cfRule type="cellIs" dxfId="1" priority="829" operator="lessThan">
      <formula>G$9</formula>
    </cfRule>
  </conditionalFormatting>
  <conditionalFormatting sqref="V59">
    <cfRule type="cellIs" dxfId="1" priority="830" operator="lessThan">
      <formula>G$9</formula>
    </cfRule>
  </conditionalFormatting>
  <conditionalFormatting sqref="V60">
    <cfRule type="cellIs" dxfId="1" priority="831" operator="lessThan">
      <formula>G$9</formula>
    </cfRule>
  </conditionalFormatting>
  <conditionalFormatting sqref="V61">
    <cfRule type="cellIs" dxfId="1" priority="832" operator="lessThan">
      <formula>G$9</formula>
    </cfRule>
  </conditionalFormatting>
  <conditionalFormatting sqref="V62">
    <cfRule type="cellIs" dxfId="1" priority="833" operator="lessThan">
      <formula>G$9</formula>
    </cfRule>
  </conditionalFormatting>
  <conditionalFormatting sqref="W11">
    <cfRule type="cellIs" dxfId="1" priority="834" operator="lessThan">
      <formula>G$9</formula>
    </cfRule>
  </conditionalFormatting>
  <conditionalFormatting sqref="W12">
    <cfRule type="cellIs" dxfId="1" priority="835" operator="lessThan">
      <formula>G$9</formula>
    </cfRule>
  </conditionalFormatting>
  <conditionalFormatting sqref="W13">
    <cfRule type="cellIs" dxfId="1" priority="836" operator="lessThan">
      <formula>G$9</formula>
    </cfRule>
  </conditionalFormatting>
  <conditionalFormatting sqref="W14">
    <cfRule type="cellIs" dxfId="1" priority="837" operator="lessThan">
      <formula>G$9</formula>
    </cfRule>
  </conditionalFormatting>
  <conditionalFormatting sqref="W15">
    <cfRule type="cellIs" dxfId="1" priority="838" operator="lessThan">
      <formula>G$9</formula>
    </cfRule>
  </conditionalFormatting>
  <conditionalFormatting sqref="W16">
    <cfRule type="cellIs" dxfId="1" priority="839" operator="lessThan">
      <formula>G$9</formula>
    </cfRule>
  </conditionalFormatting>
  <conditionalFormatting sqref="W17">
    <cfRule type="cellIs" dxfId="1" priority="840" operator="lessThan">
      <formula>G$9</formula>
    </cfRule>
  </conditionalFormatting>
  <conditionalFormatting sqref="W18">
    <cfRule type="cellIs" dxfId="1" priority="841" operator="lessThan">
      <formula>G$9</formula>
    </cfRule>
  </conditionalFormatting>
  <conditionalFormatting sqref="W19">
    <cfRule type="cellIs" dxfId="1" priority="842" operator="lessThan">
      <formula>G$9</formula>
    </cfRule>
  </conditionalFormatting>
  <conditionalFormatting sqref="W20">
    <cfRule type="cellIs" dxfId="1" priority="843" operator="lessThan">
      <formula>G$9</formula>
    </cfRule>
  </conditionalFormatting>
  <conditionalFormatting sqref="W21">
    <cfRule type="cellIs" dxfId="1" priority="844" operator="lessThan">
      <formula>G$9</formula>
    </cfRule>
  </conditionalFormatting>
  <conditionalFormatting sqref="W22">
    <cfRule type="cellIs" dxfId="1" priority="845" operator="lessThan">
      <formula>G$9</formula>
    </cfRule>
  </conditionalFormatting>
  <conditionalFormatting sqref="W23">
    <cfRule type="cellIs" dxfId="1" priority="846" operator="lessThan">
      <formula>G$9</formula>
    </cfRule>
  </conditionalFormatting>
  <conditionalFormatting sqref="W24">
    <cfRule type="cellIs" dxfId="1" priority="847" operator="lessThan">
      <formula>G$9</formula>
    </cfRule>
  </conditionalFormatting>
  <conditionalFormatting sqref="W25">
    <cfRule type="cellIs" dxfId="1" priority="848" operator="lessThan">
      <formula>G$9</formula>
    </cfRule>
  </conditionalFormatting>
  <conditionalFormatting sqref="W26">
    <cfRule type="cellIs" dxfId="1" priority="849" operator="lessThan">
      <formula>G$9</formula>
    </cfRule>
  </conditionalFormatting>
  <conditionalFormatting sqref="W27">
    <cfRule type="cellIs" dxfId="1" priority="850" operator="lessThan">
      <formula>G$9</formula>
    </cfRule>
  </conditionalFormatting>
  <conditionalFormatting sqref="W28">
    <cfRule type="cellIs" dxfId="1" priority="851" operator="lessThan">
      <formula>G$9</formula>
    </cfRule>
  </conditionalFormatting>
  <conditionalFormatting sqref="W29">
    <cfRule type="cellIs" dxfId="1" priority="852" operator="lessThan">
      <formula>G$9</formula>
    </cfRule>
  </conditionalFormatting>
  <conditionalFormatting sqref="W30">
    <cfRule type="cellIs" dxfId="1" priority="853" operator="lessThan">
      <formula>G$9</formula>
    </cfRule>
  </conditionalFormatting>
  <conditionalFormatting sqref="W31">
    <cfRule type="cellIs" dxfId="1" priority="854" operator="lessThan">
      <formula>G$9</formula>
    </cfRule>
  </conditionalFormatting>
  <conditionalFormatting sqref="W32">
    <cfRule type="cellIs" dxfId="1" priority="855" operator="lessThan">
      <formula>G$9</formula>
    </cfRule>
  </conditionalFormatting>
  <conditionalFormatting sqref="W33">
    <cfRule type="cellIs" dxfId="1" priority="856" operator="lessThan">
      <formula>G$9</formula>
    </cfRule>
  </conditionalFormatting>
  <conditionalFormatting sqref="W34">
    <cfRule type="cellIs" dxfId="1" priority="857" operator="lessThan">
      <formula>G$9</formula>
    </cfRule>
  </conditionalFormatting>
  <conditionalFormatting sqref="W35">
    <cfRule type="cellIs" dxfId="1" priority="858" operator="lessThan">
      <formula>G$9</formula>
    </cfRule>
  </conditionalFormatting>
  <conditionalFormatting sqref="W36">
    <cfRule type="cellIs" dxfId="1" priority="859" operator="lessThan">
      <formula>G$9</formula>
    </cfRule>
  </conditionalFormatting>
  <conditionalFormatting sqref="W37">
    <cfRule type="cellIs" dxfId="1" priority="860" operator="lessThan">
      <formula>G$9</formula>
    </cfRule>
  </conditionalFormatting>
  <conditionalFormatting sqref="W38">
    <cfRule type="cellIs" dxfId="1" priority="861" operator="lessThan">
      <formula>G$9</formula>
    </cfRule>
  </conditionalFormatting>
  <conditionalFormatting sqref="W39">
    <cfRule type="cellIs" dxfId="1" priority="862" operator="lessThan">
      <formula>G$9</formula>
    </cfRule>
  </conditionalFormatting>
  <conditionalFormatting sqref="W40">
    <cfRule type="cellIs" dxfId="1" priority="863" operator="lessThan">
      <formula>G$9</formula>
    </cfRule>
  </conditionalFormatting>
  <conditionalFormatting sqref="W41">
    <cfRule type="cellIs" dxfId="1" priority="864" operator="lessThan">
      <formula>G$9</formula>
    </cfRule>
  </conditionalFormatting>
  <conditionalFormatting sqref="W42">
    <cfRule type="cellIs" dxfId="1" priority="865" operator="lessThan">
      <formula>G$9</formula>
    </cfRule>
  </conditionalFormatting>
  <conditionalFormatting sqref="W43">
    <cfRule type="cellIs" dxfId="1" priority="866" operator="lessThan">
      <formula>G$9</formula>
    </cfRule>
  </conditionalFormatting>
  <conditionalFormatting sqref="W44">
    <cfRule type="cellIs" dxfId="1" priority="867" operator="lessThan">
      <formula>G$9</formula>
    </cfRule>
  </conditionalFormatting>
  <conditionalFormatting sqref="W45">
    <cfRule type="cellIs" dxfId="1" priority="868" operator="lessThan">
      <formula>G$9</formula>
    </cfRule>
  </conditionalFormatting>
  <conditionalFormatting sqref="W46">
    <cfRule type="cellIs" dxfId="1" priority="869" operator="lessThan">
      <formula>G$9</formula>
    </cfRule>
  </conditionalFormatting>
  <conditionalFormatting sqref="W47">
    <cfRule type="cellIs" dxfId="1" priority="870" operator="lessThan">
      <formula>G$9</formula>
    </cfRule>
  </conditionalFormatting>
  <conditionalFormatting sqref="W48">
    <cfRule type="cellIs" dxfId="1" priority="871" operator="lessThan">
      <formula>G$9</formula>
    </cfRule>
  </conditionalFormatting>
  <conditionalFormatting sqref="W49">
    <cfRule type="cellIs" dxfId="1" priority="872" operator="lessThan">
      <formula>G$9</formula>
    </cfRule>
  </conditionalFormatting>
  <conditionalFormatting sqref="W50">
    <cfRule type="cellIs" dxfId="1" priority="873" operator="lessThan">
      <formula>G$9</formula>
    </cfRule>
  </conditionalFormatting>
  <conditionalFormatting sqref="W51">
    <cfRule type="cellIs" dxfId="1" priority="874" operator="lessThan">
      <formula>G$9</formula>
    </cfRule>
  </conditionalFormatting>
  <conditionalFormatting sqref="W52">
    <cfRule type="cellIs" dxfId="1" priority="875" operator="lessThan">
      <formula>G$9</formula>
    </cfRule>
  </conditionalFormatting>
  <conditionalFormatting sqref="W53">
    <cfRule type="cellIs" dxfId="1" priority="876" operator="lessThan">
      <formula>G$9</formula>
    </cfRule>
  </conditionalFormatting>
  <conditionalFormatting sqref="W54">
    <cfRule type="cellIs" dxfId="1" priority="877" operator="lessThan">
      <formula>G$9</formula>
    </cfRule>
  </conditionalFormatting>
  <conditionalFormatting sqref="W55">
    <cfRule type="cellIs" dxfId="1" priority="878" operator="lessThan">
      <formula>G$9</formula>
    </cfRule>
  </conditionalFormatting>
  <conditionalFormatting sqref="W56">
    <cfRule type="cellIs" dxfId="1" priority="879" operator="lessThan">
      <formula>G$9</formula>
    </cfRule>
  </conditionalFormatting>
  <conditionalFormatting sqref="W57">
    <cfRule type="cellIs" dxfId="1" priority="880" operator="lessThan">
      <formula>G$9</formula>
    </cfRule>
  </conditionalFormatting>
  <conditionalFormatting sqref="W58">
    <cfRule type="cellIs" dxfId="1" priority="881" operator="lessThan">
      <formula>G$9</formula>
    </cfRule>
  </conditionalFormatting>
  <conditionalFormatting sqref="W59">
    <cfRule type="cellIs" dxfId="1" priority="882" operator="lessThan">
      <formula>G$9</formula>
    </cfRule>
  </conditionalFormatting>
  <conditionalFormatting sqref="W60">
    <cfRule type="cellIs" dxfId="1" priority="883" operator="lessThan">
      <formula>G$9</formula>
    </cfRule>
  </conditionalFormatting>
  <conditionalFormatting sqref="W61">
    <cfRule type="cellIs" dxfId="1" priority="884" operator="lessThan">
      <formula>G$9</formula>
    </cfRule>
  </conditionalFormatting>
  <conditionalFormatting sqref="W62">
    <cfRule type="cellIs" dxfId="1" priority="885" operator="lessThan">
      <formula>G$9</formula>
    </cfRule>
  </conditionalFormatting>
  <conditionalFormatting sqref="X11">
    <cfRule type="cellIs" dxfId="1" priority="886" operator="lessThan">
      <formula>G$9</formula>
    </cfRule>
  </conditionalFormatting>
  <conditionalFormatting sqref="X12">
    <cfRule type="cellIs" dxfId="1" priority="887" operator="lessThan">
      <formula>G$9</formula>
    </cfRule>
  </conditionalFormatting>
  <conditionalFormatting sqref="X13">
    <cfRule type="cellIs" dxfId="1" priority="888" operator="lessThan">
      <formula>G$9</formula>
    </cfRule>
  </conditionalFormatting>
  <conditionalFormatting sqref="X14">
    <cfRule type="cellIs" dxfId="1" priority="889" operator="lessThan">
      <formula>G$9</formula>
    </cfRule>
  </conditionalFormatting>
  <conditionalFormatting sqref="X15">
    <cfRule type="cellIs" dxfId="1" priority="890" operator="lessThan">
      <formula>G$9</formula>
    </cfRule>
  </conditionalFormatting>
  <conditionalFormatting sqref="X16">
    <cfRule type="cellIs" dxfId="1" priority="891" operator="lessThan">
      <formula>G$9</formula>
    </cfRule>
  </conditionalFormatting>
  <conditionalFormatting sqref="X17">
    <cfRule type="cellIs" dxfId="1" priority="892" operator="lessThan">
      <formula>G$9</formula>
    </cfRule>
  </conditionalFormatting>
  <conditionalFormatting sqref="X18">
    <cfRule type="cellIs" dxfId="1" priority="893" operator="lessThan">
      <formula>G$9</formula>
    </cfRule>
  </conditionalFormatting>
  <conditionalFormatting sqref="X19">
    <cfRule type="cellIs" dxfId="1" priority="894" operator="lessThan">
      <formula>G$9</formula>
    </cfRule>
  </conditionalFormatting>
  <conditionalFormatting sqref="X20">
    <cfRule type="cellIs" dxfId="1" priority="895" operator="lessThan">
      <formula>G$9</formula>
    </cfRule>
  </conditionalFormatting>
  <conditionalFormatting sqref="X21">
    <cfRule type="cellIs" dxfId="1" priority="896" operator="lessThan">
      <formula>G$9</formula>
    </cfRule>
  </conditionalFormatting>
  <conditionalFormatting sqref="X22">
    <cfRule type="cellIs" dxfId="1" priority="897" operator="lessThan">
      <formula>G$9</formula>
    </cfRule>
  </conditionalFormatting>
  <conditionalFormatting sqref="X23">
    <cfRule type="cellIs" dxfId="1" priority="898" operator="lessThan">
      <formula>G$9</formula>
    </cfRule>
  </conditionalFormatting>
  <conditionalFormatting sqref="X24">
    <cfRule type="cellIs" dxfId="1" priority="899" operator="lessThan">
      <formula>G$9</formula>
    </cfRule>
  </conditionalFormatting>
  <conditionalFormatting sqref="X25">
    <cfRule type="cellIs" dxfId="1" priority="900" operator="lessThan">
      <formula>G$9</formula>
    </cfRule>
  </conditionalFormatting>
  <conditionalFormatting sqref="X26">
    <cfRule type="cellIs" dxfId="1" priority="901" operator="lessThan">
      <formula>G$9</formula>
    </cfRule>
  </conditionalFormatting>
  <conditionalFormatting sqref="X27">
    <cfRule type="cellIs" dxfId="1" priority="902" operator="lessThan">
      <formula>G$9</formula>
    </cfRule>
  </conditionalFormatting>
  <conditionalFormatting sqref="X28">
    <cfRule type="cellIs" dxfId="1" priority="903" operator="lessThan">
      <formula>G$9</formula>
    </cfRule>
  </conditionalFormatting>
  <conditionalFormatting sqref="X29">
    <cfRule type="cellIs" dxfId="1" priority="904" operator="lessThan">
      <formula>G$9</formula>
    </cfRule>
  </conditionalFormatting>
  <conditionalFormatting sqref="X30">
    <cfRule type="cellIs" dxfId="1" priority="905" operator="lessThan">
      <formula>G$9</formula>
    </cfRule>
  </conditionalFormatting>
  <conditionalFormatting sqref="X31">
    <cfRule type="cellIs" dxfId="1" priority="906" operator="lessThan">
      <formula>G$9</formula>
    </cfRule>
  </conditionalFormatting>
  <conditionalFormatting sqref="X32">
    <cfRule type="cellIs" dxfId="1" priority="907" operator="lessThan">
      <formula>G$9</formula>
    </cfRule>
  </conditionalFormatting>
  <conditionalFormatting sqref="X33">
    <cfRule type="cellIs" dxfId="1" priority="908" operator="lessThan">
      <formula>G$9</formula>
    </cfRule>
  </conditionalFormatting>
  <conditionalFormatting sqref="X34">
    <cfRule type="cellIs" dxfId="1" priority="909" operator="lessThan">
      <formula>G$9</formula>
    </cfRule>
  </conditionalFormatting>
  <conditionalFormatting sqref="X35">
    <cfRule type="cellIs" dxfId="1" priority="910" operator="lessThan">
      <formula>G$9</formula>
    </cfRule>
  </conditionalFormatting>
  <conditionalFormatting sqref="X36">
    <cfRule type="cellIs" dxfId="1" priority="911" operator="lessThan">
      <formula>G$9</formula>
    </cfRule>
  </conditionalFormatting>
  <conditionalFormatting sqref="X37">
    <cfRule type="cellIs" dxfId="1" priority="912" operator="lessThan">
      <formula>G$9</formula>
    </cfRule>
  </conditionalFormatting>
  <conditionalFormatting sqref="X38">
    <cfRule type="cellIs" dxfId="1" priority="913" operator="lessThan">
      <formula>G$9</formula>
    </cfRule>
  </conditionalFormatting>
  <conditionalFormatting sqref="X39">
    <cfRule type="cellIs" dxfId="1" priority="914" operator="lessThan">
      <formula>G$9</formula>
    </cfRule>
  </conditionalFormatting>
  <conditionalFormatting sqref="X40">
    <cfRule type="cellIs" dxfId="1" priority="915" operator="lessThan">
      <formula>G$9</formula>
    </cfRule>
  </conditionalFormatting>
  <conditionalFormatting sqref="X41">
    <cfRule type="cellIs" dxfId="1" priority="916" operator="lessThan">
      <formula>G$9</formula>
    </cfRule>
  </conditionalFormatting>
  <conditionalFormatting sqref="X42">
    <cfRule type="cellIs" dxfId="1" priority="917" operator="lessThan">
      <formula>G$9</formula>
    </cfRule>
  </conditionalFormatting>
  <conditionalFormatting sqref="X43">
    <cfRule type="cellIs" dxfId="1" priority="918" operator="lessThan">
      <formula>G$9</formula>
    </cfRule>
  </conditionalFormatting>
  <conditionalFormatting sqref="X44">
    <cfRule type="cellIs" dxfId="1" priority="919" operator="lessThan">
      <formula>G$9</formula>
    </cfRule>
  </conditionalFormatting>
  <conditionalFormatting sqref="X45">
    <cfRule type="cellIs" dxfId="1" priority="920" operator="lessThan">
      <formula>G$9</formula>
    </cfRule>
  </conditionalFormatting>
  <conditionalFormatting sqref="X46">
    <cfRule type="cellIs" dxfId="1" priority="921" operator="lessThan">
      <formula>G$9</formula>
    </cfRule>
  </conditionalFormatting>
  <conditionalFormatting sqref="X47">
    <cfRule type="cellIs" dxfId="1" priority="922" operator="lessThan">
      <formula>G$9</formula>
    </cfRule>
  </conditionalFormatting>
  <conditionalFormatting sqref="X48">
    <cfRule type="cellIs" dxfId="1" priority="923" operator="lessThan">
      <formula>G$9</formula>
    </cfRule>
  </conditionalFormatting>
  <conditionalFormatting sqref="X49">
    <cfRule type="cellIs" dxfId="1" priority="924" operator="lessThan">
      <formula>G$9</formula>
    </cfRule>
  </conditionalFormatting>
  <conditionalFormatting sqref="X50">
    <cfRule type="cellIs" dxfId="1" priority="925" operator="lessThan">
      <formula>G$9</formula>
    </cfRule>
  </conditionalFormatting>
  <conditionalFormatting sqref="X51">
    <cfRule type="cellIs" dxfId="1" priority="926" operator="lessThan">
      <formula>G$9</formula>
    </cfRule>
  </conditionalFormatting>
  <conditionalFormatting sqref="X52">
    <cfRule type="cellIs" dxfId="1" priority="927" operator="lessThan">
      <formula>G$9</formula>
    </cfRule>
  </conditionalFormatting>
  <conditionalFormatting sqref="X53">
    <cfRule type="cellIs" dxfId="1" priority="928" operator="lessThan">
      <formula>G$9</formula>
    </cfRule>
  </conditionalFormatting>
  <conditionalFormatting sqref="X54">
    <cfRule type="cellIs" dxfId="1" priority="929" operator="lessThan">
      <formula>G$9</formula>
    </cfRule>
  </conditionalFormatting>
  <conditionalFormatting sqref="X55">
    <cfRule type="cellIs" dxfId="1" priority="930" operator="lessThan">
      <formula>G$9</formula>
    </cfRule>
  </conditionalFormatting>
  <conditionalFormatting sqref="X56">
    <cfRule type="cellIs" dxfId="1" priority="931" operator="lessThan">
      <formula>G$9</formula>
    </cfRule>
  </conditionalFormatting>
  <conditionalFormatting sqref="X57">
    <cfRule type="cellIs" dxfId="1" priority="932" operator="lessThan">
      <formula>G$9</formula>
    </cfRule>
  </conditionalFormatting>
  <conditionalFormatting sqref="X58">
    <cfRule type="cellIs" dxfId="1" priority="933" operator="lessThan">
      <formula>G$9</formula>
    </cfRule>
  </conditionalFormatting>
  <conditionalFormatting sqref="X59">
    <cfRule type="cellIs" dxfId="1" priority="934" operator="lessThan">
      <formula>G$9</formula>
    </cfRule>
  </conditionalFormatting>
  <conditionalFormatting sqref="X60">
    <cfRule type="cellIs" dxfId="1" priority="935" operator="lessThan">
      <formula>G$9</formula>
    </cfRule>
  </conditionalFormatting>
  <conditionalFormatting sqref="X61">
    <cfRule type="cellIs" dxfId="1" priority="936" operator="lessThan">
      <formula>G$9</formula>
    </cfRule>
  </conditionalFormatting>
  <conditionalFormatting sqref="X62">
    <cfRule type="cellIs" dxfId="1" priority="937" operator="lessThan">
      <formula>G$9</formula>
    </cfRule>
  </conditionalFormatting>
  <conditionalFormatting sqref="Y11">
    <cfRule type="cellIs" dxfId="1" priority="938" operator="lessThan">
      <formula>G$9</formula>
    </cfRule>
  </conditionalFormatting>
  <conditionalFormatting sqref="Y12">
    <cfRule type="cellIs" dxfId="1" priority="939" operator="lessThan">
      <formula>G$9</formula>
    </cfRule>
  </conditionalFormatting>
  <conditionalFormatting sqref="Y13">
    <cfRule type="cellIs" dxfId="1" priority="940" operator="lessThan">
      <formula>G$9</formula>
    </cfRule>
  </conditionalFormatting>
  <conditionalFormatting sqref="Y14">
    <cfRule type="cellIs" dxfId="1" priority="941" operator="lessThan">
      <formula>G$9</formula>
    </cfRule>
  </conditionalFormatting>
  <conditionalFormatting sqref="Y15">
    <cfRule type="cellIs" dxfId="1" priority="942" operator="lessThan">
      <formula>G$9</formula>
    </cfRule>
  </conditionalFormatting>
  <conditionalFormatting sqref="Y16">
    <cfRule type="cellIs" dxfId="1" priority="943" operator="lessThan">
      <formula>G$9</formula>
    </cfRule>
  </conditionalFormatting>
  <conditionalFormatting sqref="Y17">
    <cfRule type="cellIs" dxfId="1" priority="944" operator="lessThan">
      <formula>G$9</formula>
    </cfRule>
  </conditionalFormatting>
  <conditionalFormatting sqref="Y18">
    <cfRule type="cellIs" dxfId="1" priority="945" operator="lessThan">
      <formula>G$9</formula>
    </cfRule>
  </conditionalFormatting>
  <conditionalFormatting sqref="Y19">
    <cfRule type="cellIs" dxfId="1" priority="946" operator="lessThan">
      <formula>G$9</formula>
    </cfRule>
  </conditionalFormatting>
  <conditionalFormatting sqref="Y20">
    <cfRule type="cellIs" dxfId="1" priority="947" operator="lessThan">
      <formula>G$9</formula>
    </cfRule>
  </conditionalFormatting>
  <conditionalFormatting sqref="Y21">
    <cfRule type="cellIs" dxfId="1" priority="948" operator="lessThan">
      <formula>G$9</formula>
    </cfRule>
  </conditionalFormatting>
  <conditionalFormatting sqref="Y22">
    <cfRule type="cellIs" dxfId="1" priority="949" operator="lessThan">
      <formula>G$9</formula>
    </cfRule>
  </conditionalFormatting>
  <conditionalFormatting sqref="Y23">
    <cfRule type="cellIs" dxfId="1" priority="950" operator="lessThan">
      <formula>G$9</formula>
    </cfRule>
  </conditionalFormatting>
  <conditionalFormatting sqref="Y24">
    <cfRule type="cellIs" dxfId="1" priority="951" operator="lessThan">
      <formula>G$9</formula>
    </cfRule>
  </conditionalFormatting>
  <conditionalFormatting sqref="Y25">
    <cfRule type="cellIs" dxfId="1" priority="952" operator="lessThan">
      <formula>G$9</formula>
    </cfRule>
  </conditionalFormatting>
  <conditionalFormatting sqref="Y26">
    <cfRule type="cellIs" dxfId="1" priority="953" operator="lessThan">
      <formula>G$9</formula>
    </cfRule>
  </conditionalFormatting>
  <conditionalFormatting sqref="Y27">
    <cfRule type="cellIs" dxfId="1" priority="954" operator="lessThan">
      <formula>G$9</formula>
    </cfRule>
  </conditionalFormatting>
  <conditionalFormatting sqref="Y28">
    <cfRule type="cellIs" dxfId="1" priority="955" operator="lessThan">
      <formula>G$9</formula>
    </cfRule>
  </conditionalFormatting>
  <conditionalFormatting sqref="Y29">
    <cfRule type="cellIs" dxfId="1" priority="956" operator="lessThan">
      <formula>G$9</formula>
    </cfRule>
  </conditionalFormatting>
  <conditionalFormatting sqref="Y30">
    <cfRule type="cellIs" dxfId="1" priority="957" operator="lessThan">
      <formula>G$9</formula>
    </cfRule>
  </conditionalFormatting>
  <conditionalFormatting sqref="Y31">
    <cfRule type="cellIs" dxfId="1" priority="958" operator="lessThan">
      <formula>G$9</formula>
    </cfRule>
  </conditionalFormatting>
  <conditionalFormatting sqref="Y32">
    <cfRule type="cellIs" dxfId="1" priority="959" operator="lessThan">
      <formula>G$9</formula>
    </cfRule>
  </conditionalFormatting>
  <conditionalFormatting sqref="Y33">
    <cfRule type="cellIs" dxfId="1" priority="960" operator="lessThan">
      <formula>G$9</formula>
    </cfRule>
  </conditionalFormatting>
  <conditionalFormatting sqref="Y34">
    <cfRule type="cellIs" dxfId="1" priority="961" operator="lessThan">
      <formula>G$9</formula>
    </cfRule>
  </conditionalFormatting>
  <conditionalFormatting sqref="Y35">
    <cfRule type="cellIs" dxfId="1" priority="962" operator="lessThan">
      <formula>G$9</formula>
    </cfRule>
  </conditionalFormatting>
  <conditionalFormatting sqref="Y36">
    <cfRule type="cellIs" dxfId="1" priority="963" operator="lessThan">
      <formula>G$9</formula>
    </cfRule>
  </conditionalFormatting>
  <conditionalFormatting sqref="Y37">
    <cfRule type="cellIs" dxfId="1" priority="964" operator="lessThan">
      <formula>G$9</formula>
    </cfRule>
  </conditionalFormatting>
  <conditionalFormatting sqref="Y38">
    <cfRule type="cellIs" dxfId="1" priority="965" operator="lessThan">
      <formula>G$9</formula>
    </cfRule>
  </conditionalFormatting>
  <conditionalFormatting sqref="Y39">
    <cfRule type="cellIs" dxfId="1" priority="966" operator="lessThan">
      <formula>G$9</formula>
    </cfRule>
  </conditionalFormatting>
  <conditionalFormatting sqref="Y40">
    <cfRule type="cellIs" dxfId="1" priority="967" operator="lessThan">
      <formula>G$9</formula>
    </cfRule>
  </conditionalFormatting>
  <conditionalFormatting sqref="Y41">
    <cfRule type="cellIs" dxfId="1" priority="968" operator="lessThan">
      <formula>G$9</formula>
    </cfRule>
  </conditionalFormatting>
  <conditionalFormatting sqref="Y42">
    <cfRule type="cellIs" dxfId="1" priority="969" operator="lessThan">
      <formula>G$9</formula>
    </cfRule>
  </conditionalFormatting>
  <conditionalFormatting sqref="Y43">
    <cfRule type="cellIs" dxfId="1" priority="970" operator="lessThan">
      <formula>G$9</formula>
    </cfRule>
  </conditionalFormatting>
  <conditionalFormatting sqref="Y44">
    <cfRule type="cellIs" dxfId="1" priority="971" operator="lessThan">
      <formula>G$9</formula>
    </cfRule>
  </conditionalFormatting>
  <conditionalFormatting sqref="Y45">
    <cfRule type="cellIs" dxfId="1" priority="972" operator="lessThan">
      <formula>G$9</formula>
    </cfRule>
  </conditionalFormatting>
  <conditionalFormatting sqref="Y46">
    <cfRule type="cellIs" dxfId="1" priority="973" operator="lessThan">
      <formula>G$9</formula>
    </cfRule>
  </conditionalFormatting>
  <conditionalFormatting sqref="Y47">
    <cfRule type="cellIs" dxfId="1" priority="974" operator="lessThan">
      <formula>G$9</formula>
    </cfRule>
  </conditionalFormatting>
  <conditionalFormatting sqref="Y48">
    <cfRule type="cellIs" dxfId="1" priority="975" operator="lessThan">
      <formula>G$9</formula>
    </cfRule>
  </conditionalFormatting>
  <conditionalFormatting sqref="Y49">
    <cfRule type="cellIs" dxfId="1" priority="976" operator="lessThan">
      <formula>G$9</formula>
    </cfRule>
  </conditionalFormatting>
  <conditionalFormatting sqref="Y50">
    <cfRule type="cellIs" dxfId="1" priority="977" operator="lessThan">
      <formula>G$9</formula>
    </cfRule>
  </conditionalFormatting>
  <conditionalFormatting sqref="Y51">
    <cfRule type="cellIs" dxfId="1" priority="978" operator="lessThan">
      <formula>G$9</formula>
    </cfRule>
  </conditionalFormatting>
  <conditionalFormatting sqref="Y52">
    <cfRule type="cellIs" dxfId="1" priority="979" operator="lessThan">
      <formula>G$9</formula>
    </cfRule>
  </conditionalFormatting>
  <conditionalFormatting sqref="Y53">
    <cfRule type="cellIs" dxfId="1" priority="980" operator="lessThan">
      <formula>G$9</formula>
    </cfRule>
  </conditionalFormatting>
  <conditionalFormatting sqref="Y54">
    <cfRule type="cellIs" dxfId="1" priority="981" operator="lessThan">
      <formula>G$9</formula>
    </cfRule>
  </conditionalFormatting>
  <conditionalFormatting sqref="Y55">
    <cfRule type="cellIs" dxfId="1" priority="982" operator="lessThan">
      <formula>G$9</formula>
    </cfRule>
  </conditionalFormatting>
  <conditionalFormatting sqref="Y56">
    <cfRule type="cellIs" dxfId="1" priority="983" operator="lessThan">
      <formula>G$9</formula>
    </cfRule>
  </conditionalFormatting>
  <conditionalFormatting sqref="Y57">
    <cfRule type="cellIs" dxfId="1" priority="984" operator="lessThan">
      <formula>G$9</formula>
    </cfRule>
  </conditionalFormatting>
  <conditionalFormatting sqref="Y58">
    <cfRule type="cellIs" dxfId="1" priority="985" operator="lessThan">
      <formula>G$9</formula>
    </cfRule>
  </conditionalFormatting>
  <conditionalFormatting sqref="Y59">
    <cfRule type="cellIs" dxfId="1" priority="986" operator="lessThan">
      <formula>G$9</formula>
    </cfRule>
  </conditionalFormatting>
  <conditionalFormatting sqref="Y60">
    <cfRule type="cellIs" dxfId="1" priority="987" operator="lessThan">
      <formula>G$9</formula>
    </cfRule>
  </conditionalFormatting>
  <conditionalFormatting sqref="Y61">
    <cfRule type="cellIs" dxfId="1" priority="988" operator="lessThan">
      <formula>G$9</formula>
    </cfRule>
  </conditionalFormatting>
  <conditionalFormatting sqref="Y62">
    <cfRule type="cellIs" dxfId="1" priority="989" operator="lessThan">
      <formula>G$9</formula>
    </cfRule>
  </conditionalFormatting>
  <conditionalFormatting sqref="Z11">
    <cfRule type="cellIs" dxfId="1" priority="990" operator="lessThan">
      <formula>G$9</formula>
    </cfRule>
  </conditionalFormatting>
  <conditionalFormatting sqref="Z12">
    <cfRule type="cellIs" dxfId="1" priority="991" operator="lessThan">
      <formula>G$9</formula>
    </cfRule>
  </conditionalFormatting>
  <conditionalFormatting sqref="Z13">
    <cfRule type="cellIs" dxfId="1" priority="992" operator="lessThan">
      <formula>G$9</formula>
    </cfRule>
  </conditionalFormatting>
  <conditionalFormatting sqref="Z14">
    <cfRule type="cellIs" dxfId="1" priority="993" operator="lessThan">
      <formula>G$9</formula>
    </cfRule>
  </conditionalFormatting>
  <conditionalFormatting sqref="Z15">
    <cfRule type="cellIs" dxfId="1" priority="994" operator="lessThan">
      <formula>G$9</formula>
    </cfRule>
  </conditionalFormatting>
  <conditionalFormatting sqref="Z16">
    <cfRule type="cellIs" dxfId="1" priority="995" operator="lessThan">
      <formula>G$9</formula>
    </cfRule>
  </conditionalFormatting>
  <conditionalFormatting sqref="Z17">
    <cfRule type="cellIs" dxfId="1" priority="996" operator="lessThan">
      <formula>G$9</formula>
    </cfRule>
  </conditionalFormatting>
  <conditionalFormatting sqref="Z18">
    <cfRule type="cellIs" dxfId="1" priority="997" operator="lessThan">
      <formula>G$9</formula>
    </cfRule>
  </conditionalFormatting>
  <conditionalFormatting sqref="Z19">
    <cfRule type="cellIs" dxfId="1" priority="998" operator="lessThan">
      <formula>G$9</formula>
    </cfRule>
  </conditionalFormatting>
  <conditionalFormatting sqref="Z20">
    <cfRule type="cellIs" dxfId="1" priority="999" operator="lessThan">
      <formula>G$9</formula>
    </cfRule>
  </conditionalFormatting>
  <conditionalFormatting sqref="Z21">
    <cfRule type="cellIs" dxfId="1" priority="1000" operator="lessThan">
      <formula>G$9</formula>
    </cfRule>
  </conditionalFormatting>
  <conditionalFormatting sqref="Z22">
    <cfRule type="cellIs" dxfId="1" priority="1001" operator="lessThan">
      <formula>G$9</formula>
    </cfRule>
  </conditionalFormatting>
  <conditionalFormatting sqref="Z23">
    <cfRule type="cellIs" dxfId="1" priority="1002" operator="lessThan">
      <formula>G$9</formula>
    </cfRule>
  </conditionalFormatting>
  <conditionalFormatting sqref="Z24">
    <cfRule type="cellIs" dxfId="1" priority="1003" operator="lessThan">
      <formula>G$9</formula>
    </cfRule>
  </conditionalFormatting>
  <conditionalFormatting sqref="Z25">
    <cfRule type="cellIs" dxfId="1" priority="1004" operator="lessThan">
      <formula>G$9</formula>
    </cfRule>
  </conditionalFormatting>
  <conditionalFormatting sqref="Z26">
    <cfRule type="cellIs" dxfId="1" priority="1005" operator="lessThan">
      <formula>G$9</formula>
    </cfRule>
  </conditionalFormatting>
  <conditionalFormatting sqref="Z27">
    <cfRule type="cellIs" dxfId="1" priority="1006" operator="lessThan">
      <formula>G$9</formula>
    </cfRule>
  </conditionalFormatting>
  <conditionalFormatting sqref="Z28">
    <cfRule type="cellIs" dxfId="1" priority="1007" operator="lessThan">
      <formula>G$9</formula>
    </cfRule>
  </conditionalFormatting>
  <conditionalFormatting sqref="Z29">
    <cfRule type="cellIs" dxfId="1" priority="1008" operator="lessThan">
      <formula>G$9</formula>
    </cfRule>
  </conditionalFormatting>
  <conditionalFormatting sqref="Z30">
    <cfRule type="cellIs" dxfId="1" priority="1009" operator="lessThan">
      <formula>G$9</formula>
    </cfRule>
  </conditionalFormatting>
  <conditionalFormatting sqref="Z31">
    <cfRule type="cellIs" dxfId="1" priority="1010" operator="lessThan">
      <formula>G$9</formula>
    </cfRule>
  </conditionalFormatting>
  <conditionalFormatting sqref="Z32">
    <cfRule type="cellIs" dxfId="1" priority="1011" operator="lessThan">
      <formula>G$9</formula>
    </cfRule>
  </conditionalFormatting>
  <conditionalFormatting sqref="Z33">
    <cfRule type="cellIs" dxfId="1" priority="1012" operator="lessThan">
      <formula>G$9</formula>
    </cfRule>
  </conditionalFormatting>
  <conditionalFormatting sqref="Z34">
    <cfRule type="cellIs" dxfId="1" priority="1013" operator="lessThan">
      <formula>G$9</formula>
    </cfRule>
  </conditionalFormatting>
  <conditionalFormatting sqref="Z35">
    <cfRule type="cellIs" dxfId="1" priority="1014" operator="lessThan">
      <formula>G$9</formula>
    </cfRule>
  </conditionalFormatting>
  <conditionalFormatting sqref="Z36">
    <cfRule type="cellIs" dxfId="1" priority="1015" operator="lessThan">
      <formula>G$9</formula>
    </cfRule>
  </conditionalFormatting>
  <conditionalFormatting sqref="Z37">
    <cfRule type="cellIs" dxfId="1" priority="1016" operator="lessThan">
      <formula>G$9</formula>
    </cfRule>
  </conditionalFormatting>
  <conditionalFormatting sqref="Z38">
    <cfRule type="cellIs" dxfId="1" priority="1017" operator="lessThan">
      <formula>G$9</formula>
    </cfRule>
  </conditionalFormatting>
  <conditionalFormatting sqref="Z39">
    <cfRule type="cellIs" dxfId="1" priority="1018" operator="lessThan">
      <formula>G$9</formula>
    </cfRule>
  </conditionalFormatting>
  <conditionalFormatting sqref="Z40">
    <cfRule type="cellIs" dxfId="1" priority="1019" operator="lessThan">
      <formula>G$9</formula>
    </cfRule>
  </conditionalFormatting>
  <conditionalFormatting sqref="Z41">
    <cfRule type="cellIs" dxfId="1" priority="1020" operator="lessThan">
      <formula>G$9</formula>
    </cfRule>
  </conditionalFormatting>
  <conditionalFormatting sqref="Z42">
    <cfRule type="cellIs" dxfId="1" priority="1021" operator="lessThan">
      <formula>G$9</formula>
    </cfRule>
  </conditionalFormatting>
  <conditionalFormatting sqref="Z43">
    <cfRule type="cellIs" dxfId="1" priority="1022" operator="lessThan">
      <formula>G$9</formula>
    </cfRule>
  </conditionalFormatting>
  <conditionalFormatting sqref="Z44">
    <cfRule type="cellIs" dxfId="1" priority="1023" operator="lessThan">
      <formula>G$9</formula>
    </cfRule>
  </conditionalFormatting>
  <conditionalFormatting sqref="Z45">
    <cfRule type="cellIs" dxfId="1" priority="1024" operator="lessThan">
      <formula>G$9</formula>
    </cfRule>
  </conditionalFormatting>
  <conditionalFormatting sqref="Z46">
    <cfRule type="cellIs" dxfId="1" priority="1025" operator="lessThan">
      <formula>G$9</formula>
    </cfRule>
  </conditionalFormatting>
  <conditionalFormatting sqref="Z47">
    <cfRule type="cellIs" dxfId="1" priority="1026" operator="lessThan">
      <formula>G$9</formula>
    </cfRule>
  </conditionalFormatting>
  <conditionalFormatting sqref="Z48">
    <cfRule type="cellIs" dxfId="1" priority="1027" operator="lessThan">
      <formula>G$9</formula>
    </cfRule>
  </conditionalFormatting>
  <conditionalFormatting sqref="Z49">
    <cfRule type="cellIs" dxfId="1" priority="1028" operator="lessThan">
      <formula>G$9</formula>
    </cfRule>
  </conditionalFormatting>
  <conditionalFormatting sqref="Z50">
    <cfRule type="cellIs" dxfId="1" priority="1029" operator="lessThan">
      <formula>G$9</formula>
    </cfRule>
  </conditionalFormatting>
  <conditionalFormatting sqref="Z51">
    <cfRule type="cellIs" dxfId="1" priority="1030" operator="lessThan">
      <formula>G$9</formula>
    </cfRule>
  </conditionalFormatting>
  <conditionalFormatting sqref="Z52">
    <cfRule type="cellIs" dxfId="1" priority="1031" operator="lessThan">
      <formula>G$9</formula>
    </cfRule>
  </conditionalFormatting>
  <conditionalFormatting sqref="Z53">
    <cfRule type="cellIs" dxfId="1" priority="1032" operator="lessThan">
      <formula>G$9</formula>
    </cfRule>
  </conditionalFormatting>
  <conditionalFormatting sqref="Z54">
    <cfRule type="cellIs" dxfId="1" priority="1033" operator="lessThan">
      <formula>G$9</formula>
    </cfRule>
  </conditionalFormatting>
  <conditionalFormatting sqref="Z55">
    <cfRule type="cellIs" dxfId="1" priority="1034" operator="lessThan">
      <formula>G$9</formula>
    </cfRule>
  </conditionalFormatting>
  <conditionalFormatting sqref="Z56">
    <cfRule type="cellIs" dxfId="1" priority="1035" operator="lessThan">
      <formula>G$9</formula>
    </cfRule>
  </conditionalFormatting>
  <conditionalFormatting sqref="Z57">
    <cfRule type="cellIs" dxfId="1" priority="1036" operator="lessThan">
      <formula>G$9</formula>
    </cfRule>
  </conditionalFormatting>
  <conditionalFormatting sqref="Z58">
    <cfRule type="cellIs" dxfId="1" priority="1037" operator="lessThan">
      <formula>G$9</formula>
    </cfRule>
  </conditionalFormatting>
  <conditionalFormatting sqref="Z59">
    <cfRule type="cellIs" dxfId="1" priority="1038" operator="lessThan">
      <formula>G$9</formula>
    </cfRule>
  </conditionalFormatting>
  <conditionalFormatting sqref="Z60">
    <cfRule type="cellIs" dxfId="1" priority="1039" operator="lessThan">
      <formula>G$9</formula>
    </cfRule>
  </conditionalFormatting>
  <conditionalFormatting sqref="Z61">
    <cfRule type="cellIs" dxfId="1" priority="1040" operator="lessThan">
      <formula>G$9</formula>
    </cfRule>
  </conditionalFormatting>
  <conditionalFormatting sqref="Z62">
    <cfRule type="cellIs" dxfId="1" priority="1041" operator="lessThan">
      <formula>G$9</formula>
    </cfRule>
  </conditionalFormatting>
  <conditionalFormatting sqref="AA11">
    <cfRule type="cellIs" dxfId="1" priority="1042" operator="lessThan">
      <formula>G$9</formula>
    </cfRule>
  </conditionalFormatting>
  <conditionalFormatting sqref="AB11">
    <cfRule type="cellIs" dxfId="1" priority="1043" operator="lessThan">
      <formula>G$9</formula>
    </cfRule>
  </conditionalFormatting>
  <conditionalFormatting sqref="AC11">
    <cfRule type="cellIs" dxfId="1" priority="1044" operator="lessThan">
      <formula>G$9</formula>
    </cfRule>
  </conditionalFormatting>
  <conditionalFormatting sqref="AA12">
    <cfRule type="cellIs" dxfId="1" priority="1045" operator="lessThan">
      <formula>G$9</formula>
    </cfRule>
  </conditionalFormatting>
  <conditionalFormatting sqref="AB12">
    <cfRule type="cellIs" dxfId="1" priority="1046" operator="lessThan">
      <formula>G$9</formula>
    </cfRule>
  </conditionalFormatting>
  <conditionalFormatting sqref="AC12">
    <cfRule type="cellIs" dxfId="1" priority="1047" operator="lessThan">
      <formula>G$9</formula>
    </cfRule>
  </conditionalFormatting>
  <conditionalFormatting sqref="AA13">
    <cfRule type="cellIs" dxfId="1" priority="1048" operator="lessThan">
      <formula>G$9</formula>
    </cfRule>
  </conditionalFormatting>
  <conditionalFormatting sqref="AB13">
    <cfRule type="cellIs" dxfId="1" priority="1049" operator="lessThan">
      <formula>G$9</formula>
    </cfRule>
  </conditionalFormatting>
  <conditionalFormatting sqref="AC13">
    <cfRule type="cellIs" dxfId="1" priority="1050" operator="lessThan">
      <formula>G$9</formula>
    </cfRule>
  </conditionalFormatting>
  <conditionalFormatting sqref="AA14">
    <cfRule type="cellIs" dxfId="1" priority="1051" operator="lessThan">
      <formula>G$9</formula>
    </cfRule>
  </conditionalFormatting>
  <conditionalFormatting sqref="AB14">
    <cfRule type="cellIs" dxfId="1" priority="1052" operator="lessThan">
      <formula>G$9</formula>
    </cfRule>
  </conditionalFormatting>
  <conditionalFormatting sqref="AC14">
    <cfRule type="cellIs" dxfId="1" priority="1053" operator="lessThan">
      <formula>G$9</formula>
    </cfRule>
  </conditionalFormatting>
  <conditionalFormatting sqref="AA15">
    <cfRule type="cellIs" dxfId="1" priority="1054" operator="lessThan">
      <formula>G$9</formula>
    </cfRule>
  </conditionalFormatting>
  <conditionalFormatting sqref="AB15">
    <cfRule type="cellIs" dxfId="1" priority="1055" operator="lessThan">
      <formula>G$9</formula>
    </cfRule>
  </conditionalFormatting>
  <conditionalFormatting sqref="AC15">
    <cfRule type="cellIs" dxfId="1" priority="1056" operator="lessThan">
      <formula>G$9</formula>
    </cfRule>
  </conditionalFormatting>
  <conditionalFormatting sqref="AA16">
    <cfRule type="cellIs" dxfId="1" priority="1057" operator="lessThan">
      <formula>G$9</formula>
    </cfRule>
  </conditionalFormatting>
  <conditionalFormatting sqref="AB16">
    <cfRule type="cellIs" dxfId="1" priority="1058" operator="lessThan">
      <formula>G$9</formula>
    </cfRule>
  </conditionalFormatting>
  <conditionalFormatting sqref="AC16">
    <cfRule type="cellIs" dxfId="1" priority="1059" operator="lessThan">
      <formula>G$9</formula>
    </cfRule>
  </conditionalFormatting>
  <conditionalFormatting sqref="AA17">
    <cfRule type="cellIs" dxfId="1" priority="1060" operator="lessThan">
      <formula>G$9</formula>
    </cfRule>
  </conditionalFormatting>
  <conditionalFormatting sqref="AB17">
    <cfRule type="cellIs" dxfId="1" priority="1061" operator="lessThan">
      <formula>G$9</formula>
    </cfRule>
  </conditionalFormatting>
  <conditionalFormatting sqref="AC17">
    <cfRule type="cellIs" dxfId="1" priority="1062" operator="lessThan">
      <formula>G$9</formula>
    </cfRule>
  </conditionalFormatting>
  <conditionalFormatting sqref="AA18">
    <cfRule type="cellIs" dxfId="1" priority="1063" operator="lessThan">
      <formula>G$9</formula>
    </cfRule>
  </conditionalFormatting>
  <conditionalFormatting sqref="AB18">
    <cfRule type="cellIs" dxfId="1" priority="1064" operator="lessThan">
      <formula>G$9</formula>
    </cfRule>
  </conditionalFormatting>
  <conditionalFormatting sqref="AC18">
    <cfRule type="cellIs" dxfId="1" priority="1065" operator="lessThan">
      <formula>G$9</formula>
    </cfRule>
  </conditionalFormatting>
  <conditionalFormatting sqref="AA19">
    <cfRule type="cellIs" dxfId="1" priority="1066" operator="lessThan">
      <formula>G$9</formula>
    </cfRule>
  </conditionalFormatting>
  <conditionalFormatting sqref="AB19">
    <cfRule type="cellIs" dxfId="1" priority="1067" operator="lessThan">
      <formula>G$9</formula>
    </cfRule>
  </conditionalFormatting>
  <conditionalFormatting sqref="AC19">
    <cfRule type="cellIs" dxfId="1" priority="1068" operator="lessThan">
      <formula>G$9</formula>
    </cfRule>
  </conditionalFormatting>
  <conditionalFormatting sqref="AA20">
    <cfRule type="cellIs" dxfId="1" priority="1069" operator="lessThan">
      <formula>G$9</formula>
    </cfRule>
  </conditionalFormatting>
  <conditionalFormatting sqref="AB20">
    <cfRule type="cellIs" dxfId="1" priority="1070" operator="lessThan">
      <formula>G$9</formula>
    </cfRule>
  </conditionalFormatting>
  <conditionalFormatting sqref="AC20">
    <cfRule type="cellIs" dxfId="1" priority="1071" operator="lessThan">
      <formula>G$9</formula>
    </cfRule>
  </conditionalFormatting>
  <conditionalFormatting sqref="AA21">
    <cfRule type="cellIs" dxfId="1" priority="1072" operator="lessThan">
      <formula>G$9</formula>
    </cfRule>
  </conditionalFormatting>
  <conditionalFormatting sqref="AB21">
    <cfRule type="cellIs" dxfId="1" priority="1073" operator="lessThan">
      <formula>G$9</formula>
    </cfRule>
  </conditionalFormatting>
  <conditionalFormatting sqref="AC21">
    <cfRule type="cellIs" dxfId="1" priority="1074" operator="lessThan">
      <formula>G$9</formula>
    </cfRule>
  </conditionalFormatting>
  <conditionalFormatting sqref="AA22">
    <cfRule type="cellIs" dxfId="1" priority="1075" operator="lessThan">
      <formula>G$9</formula>
    </cfRule>
  </conditionalFormatting>
  <conditionalFormatting sqref="AB22">
    <cfRule type="cellIs" dxfId="1" priority="1076" operator="lessThan">
      <formula>G$9</formula>
    </cfRule>
  </conditionalFormatting>
  <conditionalFormatting sqref="AC22">
    <cfRule type="cellIs" dxfId="1" priority="1077" operator="lessThan">
      <formula>G$9</formula>
    </cfRule>
  </conditionalFormatting>
  <conditionalFormatting sqref="AA23">
    <cfRule type="cellIs" dxfId="1" priority="1078" operator="lessThan">
      <formula>G$9</formula>
    </cfRule>
  </conditionalFormatting>
  <conditionalFormatting sqref="AB23">
    <cfRule type="cellIs" dxfId="1" priority="1079" operator="lessThan">
      <formula>G$9</formula>
    </cfRule>
  </conditionalFormatting>
  <conditionalFormatting sqref="AC23">
    <cfRule type="cellIs" dxfId="1" priority="1080" operator="lessThan">
      <formula>G$9</formula>
    </cfRule>
  </conditionalFormatting>
  <conditionalFormatting sqref="AA24">
    <cfRule type="cellIs" dxfId="1" priority="1081" operator="lessThan">
      <formula>G$9</formula>
    </cfRule>
  </conditionalFormatting>
  <conditionalFormatting sqref="AB24">
    <cfRule type="cellIs" dxfId="1" priority="1082" operator="lessThan">
      <formula>G$9</formula>
    </cfRule>
  </conditionalFormatting>
  <conditionalFormatting sqref="AC24">
    <cfRule type="cellIs" dxfId="1" priority="1083" operator="lessThan">
      <formula>G$9</formula>
    </cfRule>
  </conditionalFormatting>
  <conditionalFormatting sqref="AA25">
    <cfRule type="cellIs" dxfId="1" priority="1084" operator="lessThan">
      <formula>G$9</formula>
    </cfRule>
  </conditionalFormatting>
  <conditionalFormatting sqref="AB25">
    <cfRule type="cellIs" dxfId="1" priority="1085" operator="lessThan">
      <formula>G$9</formula>
    </cfRule>
  </conditionalFormatting>
  <conditionalFormatting sqref="AC25">
    <cfRule type="cellIs" dxfId="1" priority="1086" operator="lessThan">
      <formula>G$9</formula>
    </cfRule>
  </conditionalFormatting>
  <conditionalFormatting sqref="AA26">
    <cfRule type="cellIs" dxfId="1" priority="1087" operator="lessThan">
      <formula>G$9</formula>
    </cfRule>
  </conditionalFormatting>
  <conditionalFormatting sqref="AB26">
    <cfRule type="cellIs" dxfId="1" priority="1088" operator="lessThan">
      <formula>G$9</formula>
    </cfRule>
  </conditionalFormatting>
  <conditionalFormatting sqref="AC26">
    <cfRule type="cellIs" dxfId="1" priority="1089" operator="lessThan">
      <formula>G$9</formula>
    </cfRule>
  </conditionalFormatting>
  <conditionalFormatting sqref="AA27">
    <cfRule type="cellIs" dxfId="1" priority="1090" operator="lessThan">
      <formula>G$9</formula>
    </cfRule>
  </conditionalFormatting>
  <conditionalFormatting sqref="AB27">
    <cfRule type="cellIs" dxfId="1" priority="1091" operator="lessThan">
      <formula>G$9</formula>
    </cfRule>
  </conditionalFormatting>
  <conditionalFormatting sqref="AC27">
    <cfRule type="cellIs" dxfId="1" priority="1092" operator="lessThan">
      <formula>G$9</formula>
    </cfRule>
  </conditionalFormatting>
  <conditionalFormatting sqref="AA28">
    <cfRule type="cellIs" dxfId="1" priority="1093" operator="lessThan">
      <formula>G$9</formula>
    </cfRule>
  </conditionalFormatting>
  <conditionalFormatting sqref="AB28">
    <cfRule type="cellIs" dxfId="1" priority="1094" operator="lessThan">
      <formula>G$9</formula>
    </cfRule>
  </conditionalFormatting>
  <conditionalFormatting sqref="AC28">
    <cfRule type="cellIs" dxfId="1" priority="1095" operator="lessThan">
      <formula>G$9</formula>
    </cfRule>
  </conditionalFormatting>
  <conditionalFormatting sqref="AA29">
    <cfRule type="cellIs" dxfId="1" priority="1096" operator="lessThan">
      <formula>G$9</formula>
    </cfRule>
  </conditionalFormatting>
  <conditionalFormatting sqref="AB29">
    <cfRule type="cellIs" dxfId="1" priority="1097" operator="lessThan">
      <formula>G$9</formula>
    </cfRule>
  </conditionalFormatting>
  <conditionalFormatting sqref="AC29">
    <cfRule type="cellIs" dxfId="1" priority="1098" operator="lessThan">
      <formula>G$9</formula>
    </cfRule>
  </conditionalFormatting>
  <conditionalFormatting sqref="AA30">
    <cfRule type="cellIs" dxfId="1" priority="1099" operator="lessThan">
      <formula>G$9</formula>
    </cfRule>
  </conditionalFormatting>
  <conditionalFormatting sqref="AB30">
    <cfRule type="cellIs" dxfId="1" priority="1100" operator="lessThan">
      <formula>G$9</formula>
    </cfRule>
  </conditionalFormatting>
  <conditionalFormatting sqref="AC30">
    <cfRule type="cellIs" dxfId="1" priority="1101" operator="lessThan">
      <formula>G$9</formula>
    </cfRule>
  </conditionalFormatting>
  <conditionalFormatting sqref="AA31">
    <cfRule type="cellIs" dxfId="1" priority="1102" operator="lessThan">
      <formula>G$9</formula>
    </cfRule>
  </conditionalFormatting>
  <conditionalFormatting sqref="AB31">
    <cfRule type="cellIs" dxfId="1" priority="1103" operator="lessThan">
      <formula>G$9</formula>
    </cfRule>
  </conditionalFormatting>
  <conditionalFormatting sqref="AC31">
    <cfRule type="cellIs" dxfId="1" priority="1104" operator="lessThan">
      <formula>G$9</formula>
    </cfRule>
  </conditionalFormatting>
  <conditionalFormatting sqref="AA32">
    <cfRule type="cellIs" dxfId="1" priority="1105" operator="lessThan">
      <formula>G$9</formula>
    </cfRule>
  </conditionalFormatting>
  <conditionalFormatting sqref="AB32">
    <cfRule type="cellIs" dxfId="1" priority="1106" operator="lessThan">
      <formula>G$9</formula>
    </cfRule>
  </conditionalFormatting>
  <conditionalFormatting sqref="AC32">
    <cfRule type="cellIs" dxfId="1" priority="1107" operator="lessThan">
      <formula>G$9</formula>
    </cfRule>
  </conditionalFormatting>
  <conditionalFormatting sqref="AA33">
    <cfRule type="cellIs" dxfId="1" priority="1108" operator="lessThan">
      <formula>G$9</formula>
    </cfRule>
  </conditionalFormatting>
  <conditionalFormatting sqref="AB33">
    <cfRule type="cellIs" dxfId="1" priority="1109" operator="lessThan">
      <formula>G$9</formula>
    </cfRule>
  </conditionalFormatting>
  <conditionalFormatting sqref="AC33">
    <cfRule type="cellIs" dxfId="1" priority="1110" operator="lessThan">
      <formula>G$9</formula>
    </cfRule>
  </conditionalFormatting>
  <conditionalFormatting sqref="AA34">
    <cfRule type="cellIs" dxfId="1" priority="1111" operator="lessThan">
      <formula>G$9</formula>
    </cfRule>
  </conditionalFormatting>
  <conditionalFormatting sqref="AB34">
    <cfRule type="cellIs" dxfId="1" priority="1112" operator="lessThan">
      <formula>G$9</formula>
    </cfRule>
  </conditionalFormatting>
  <conditionalFormatting sqref="AC34">
    <cfRule type="cellIs" dxfId="1" priority="1113" operator="lessThan">
      <formula>G$9</formula>
    </cfRule>
  </conditionalFormatting>
  <conditionalFormatting sqref="AA35">
    <cfRule type="cellIs" dxfId="1" priority="1114" operator="lessThan">
      <formula>G$9</formula>
    </cfRule>
  </conditionalFormatting>
  <conditionalFormatting sqref="AB35">
    <cfRule type="cellIs" dxfId="1" priority="1115" operator="lessThan">
      <formula>G$9</formula>
    </cfRule>
  </conditionalFormatting>
  <conditionalFormatting sqref="AC35">
    <cfRule type="cellIs" dxfId="1" priority="1116" operator="lessThan">
      <formula>G$9</formula>
    </cfRule>
  </conditionalFormatting>
  <conditionalFormatting sqref="AA36">
    <cfRule type="cellIs" dxfId="1" priority="1117" operator="lessThan">
      <formula>G$9</formula>
    </cfRule>
  </conditionalFormatting>
  <conditionalFormatting sqref="AB36">
    <cfRule type="cellIs" dxfId="1" priority="1118" operator="lessThan">
      <formula>G$9</formula>
    </cfRule>
  </conditionalFormatting>
  <conditionalFormatting sqref="AC36">
    <cfRule type="cellIs" dxfId="1" priority="1119" operator="lessThan">
      <formula>G$9</formula>
    </cfRule>
  </conditionalFormatting>
  <conditionalFormatting sqref="AA37">
    <cfRule type="cellIs" dxfId="1" priority="1120" operator="lessThan">
      <formula>G$9</formula>
    </cfRule>
  </conditionalFormatting>
  <conditionalFormatting sqref="AB37">
    <cfRule type="cellIs" dxfId="1" priority="1121" operator="lessThan">
      <formula>G$9</formula>
    </cfRule>
  </conditionalFormatting>
  <conditionalFormatting sqref="AC37">
    <cfRule type="cellIs" dxfId="1" priority="1122" operator="lessThan">
      <formula>G$9</formula>
    </cfRule>
  </conditionalFormatting>
  <conditionalFormatting sqref="AA38">
    <cfRule type="cellIs" dxfId="1" priority="1123" operator="lessThan">
      <formula>G$9</formula>
    </cfRule>
  </conditionalFormatting>
  <conditionalFormatting sqref="AB38">
    <cfRule type="cellIs" dxfId="1" priority="1124" operator="lessThan">
      <formula>G$9</formula>
    </cfRule>
  </conditionalFormatting>
  <conditionalFormatting sqref="AC38">
    <cfRule type="cellIs" dxfId="1" priority="1125" operator="lessThan">
      <formula>G$9</formula>
    </cfRule>
  </conditionalFormatting>
  <conditionalFormatting sqref="AA39">
    <cfRule type="cellIs" dxfId="1" priority="1126" operator="lessThan">
      <formula>G$9</formula>
    </cfRule>
  </conditionalFormatting>
  <conditionalFormatting sqref="AB39">
    <cfRule type="cellIs" dxfId="1" priority="1127" operator="lessThan">
      <formula>G$9</formula>
    </cfRule>
  </conditionalFormatting>
  <conditionalFormatting sqref="AC39">
    <cfRule type="cellIs" dxfId="1" priority="1128" operator="lessThan">
      <formula>G$9</formula>
    </cfRule>
  </conditionalFormatting>
  <conditionalFormatting sqref="AA40">
    <cfRule type="cellIs" dxfId="1" priority="1129" operator="lessThan">
      <formula>G$9</formula>
    </cfRule>
  </conditionalFormatting>
  <conditionalFormatting sqref="AB40">
    <cfRule type="cellIs" dxfId="1" priority="1130" operator="lessThan">
      <formula>G$9</formula>
    </cfRule>
  </conditionalFormatting>
  <conditionalFormatting sqref="AC40">
    <cfRule type="cellIs" dxfId="1" priority="1131" operator="lessThan">
      <formula>G$9</formula>
    </cfRule>
  </conditionalFormatting>
  <conditionalFormatting sqref="AA41">
    <cfRule type="cellIs" dxfId="1" priority="1132" operator="lessThan">
      <formula>G$9</formula>
    </cfRule>
  </conditionalFormatting>
  <conditionalFormatting sqref="AB41">
    <cfRule type="cellIs" dxfId="1" priority="1133" operator="lessThan">
      <formula>G$9</formula>
    </cfRule>
  </conditionalFormatting>
  <conditionalFormatting sqref="AC41">
    <cfRule type="cellIs" dxfId="1" priority="1134" operator="lessThan">
      <formula>G$9</formula>
    </cfRule>
  </conditionalFormatting>
  <conditionalFormatting sqref="AA42">
    <cfRule type="cellIs" dxfId="1" priority="1135" operator="lessThan">
      <formula>G$9</formula>
    </cfRule>
  </conditionalFormatting>
  <conditionalFormatting sqref="AB42">
    <cfRule type="cellIs" dxfId="1" priority="1136" operator="lessThan">
      <formula>G$9</formula>
    </cfRule>
  </conditionalFormatting>
  <conditionalFormatting sqref="AC42">
    <cfRule type="cellIs" dxfId="1" priority="1137" operator="lessThan">
      <formula>G$9</formula>
    </cfRule>
  </conditionalFormatting>
  <conditionalFormatting sqref="AA43">
    <cfRule type="cellIs" dxfId="1" priority="1138" operator="lessThan">
      <formula>G$9</formula>
    </cfRule>
  </conditionalFormatting>
  <conditionalFormatting sqref="AB43">
    <cfRule type="cellIs" dxfId="1" priority="1139" operator="lessThan">
      <formula>G$9</formula>
    </cfRule>
  </conditionalFormatting>
  <conditionalFormatting sqref="AC43">
    <cfRule type="cellIs" dxfId="1" priority="1140" operator="lessThan">
      <formula>G$9</formula>
    </cfRule>
  </conditionalFormatting>
  <conditionalFormatting sqref="AA44">
    <cfRule type="cellIs" dxfId="1" priority="1141" operator="lessThan">
      <formula>G$9</formula>
    </cfRule>
  </conditionalFormatting>
  <conditionalFormatting sqref="AB44">
    <cfRule type="cellIs" dxfId="1" priority="1142" operator="lessThan">
      <formula>G$9</formula>
    </cfRule>
  </conditionalFormatting>
  <conditionalFormatting sqref="AC44">
    <cfRule type="cellIs" dxfId="1" priority="1143" operator="lessThan">
      <formula>G$9</formula>
    </cfRule>
  </conditionalFormatting>
  <conditionalFormatting sqref="AA45">
    <cfRule type="cellIs" dxfId="1" priority="1144" operator="lessThan">
      <formula>G$9</formula>
    </cfRule>
  </conditionalFormatting>
  <conditionalFormatting sqref="AB45">
    <cfRule type="cellIs" dxfId="1" priority="1145" operator="lessThan">
      <formula>G$9</formula>
    </cfRule>
  </conditionalFormatting>
  <conditionalFormatting sqref="AC45">
    <cfRule type="cellIs" dxfId="1" priority="1146" operator="lessThan">
      <formula>G$9</formula>
    </cfRule>
  </conditionalFormatting>
  <conditionalFormatting sqref="AA46">
    <cfRule type="cellIs" dxfId="1" priority="1147" operator="lessThan">
      <formula>G$9</formula>
    </cfRule>
  </conditionalFormatting>
  <conditionalFormatting sqref="AB46">
    <cfRule type="cellIs" dxfId="1" priority="1148" operator="lessThan">
      <formula>G$9</formula>
    </cfRule>
  </conditionalFormatting>
  <conditionalFormatting sqref="AC46">
    <cfRule type="cellIs" dxfId="1" priority="1149" operator="lessThan">
      <formula>G$9</formula>
    </cfRule>
  </conditionalFormatting>
  <conditionalFormatting sqref="AA47">
    <cfRule type="cellIs" dxfId="1" priority="1150" operator="lessThan">
      <formula>G$9</formula>
    </cfRule>
  </conditionalFormatting>
  <conditionalFormatting sqref="AB47">
    <cfRule type="cellIs" dxfId="1" priority="1151" operator="lessThan">
      <formula>G$9</formula>
    </cfRule>
  </conditionalFormatting>
  <conditionalFormatting sqref="AC47">
    <cfRule type="cellIs" dxfId="1" priority="1152" operator="lessThan">
      <formula>G$9</formula>
    </cfRule>
  </conditionalFormatting>
  <conditionalFormatting sqref="AA48">
    <cfRule type="cellIs" dxfId="1" priority="1153" operator="lessThan">
      <formula>G$9</formula>
    </cfRule>
  </conditionalFormatting>
  <conditionalFormatting sqref="AB48">
    <cfRule type="cellIs" dxfId="1" priority="1154" operator="lessThan">
      <formula>G$9</formula>
    </cfRule>
  </conditionalFormatting>
  <conditionalFormatting sqref="AC48">
    <cfRule type="cellIs" dxfId="1" priority="1155" operator="lessThan">
      <formula>G$9</formula>
    </cfRule>
  </conditionalFormatting>
  <conditionalFormatting sqref="AA49">
    <cfRule type="cellIs" dxfId="1" priority="1156" operator="lessThan">
      <formula>G$9</formula>
    </cfRule>
  </conditionalFormatting>
  <conditionalFormatting sqref="AB49">
    <cfRule type="cellIs" dxfId="1" priority="1157" operator="lessThan">
      <formula>G$9</formula>
    </cfRule>
  </conditionalFormatting>
  <conditionalFormatting sqref="AC49">
    <cfRule type="cellIs" dxfId="1" priority="1158" operator="lessThan">
      <formula>G$9</formula>
    </cfRule>
  </conditionalFormatting>
  <conditionalFormatting sqref="AA50">
    <cfRule type="cellIs" dxfId="1" priority="1159" operator="lessThan">
      <formula>G$9</formula>
    </cfRule>
  </conditionalFormatting>
  <conditionalFormatting sqref="AB50">
    <cfRule type="cellIs" dxfId="1" priority="1160" operator="lessThan">
      <formula>G$9</formula>
    </cfRule>
  </conditionalFormatting>
  <conditionalFormatting sqref="AC50">
    <cfRule type="cellIs" dxfId="1" priority="1161" operator="lessThan">
      <formula>G$9</formula>
    </cfRule>
  </conditionalFormatting>
  <conditionalFormatting sqref="AA51">
    <cfRule type="cellIs" dxfId="1" priority="1162" operator="lessThan">
      <formula>G$9</formula>
    </cfRule>
  </conditionalFormatting>
  <conditionalFormatting sqref="AB51">
    <cfRule type="cellIs" dxfId="1" priority="1163" operator="lessThan">
      <formula>G$9</formula>
    </cfRule>
  </conditionalFormatting>
  <conditionalFormatting sqref="AC51">
    <cfRule type="cellIs" dxfId="1" priority="1164" operator="lessThan">
      <formula>G$9</formula>
    </cfRule>
  </conditionalFormatting>
  <conditionalFormatting sqref="AA52">
    <cfRule type="cellIs" dxfId="1" priority="1165" operator="lessThan">
      <formula>G$9</formula>
    </cfRule>
  </conditionalFormatting>
  <conditionalFormatting sqref="AB52">
    <cfRule type="cellIs" dxfId="1" priority="1166" operator="lessThan">
      <formula>G$9</formula>
    </cfRule>
  </conditionalFormatting>
  <conditionalFormatting sqref="AC52">
    <cfRule type="cellIs" dxfId="1" priority="1167" operator="lessThan">
      <formula>G$9</formula>
    </cfRule>
  </conditionalFormatting>
  <conditionalFormatting sqref="AA53">
    <cfRule type="cellIs" dxfId="1" priority="1168" operator="lessThan">
      <formula>G$9</formula>
    </cfRule>
  </conditionalFormatting>
  <conditionalFormatting sqref="AB53">
    <cfRule type="cellIs" dxfId="1" priority="1169" operator="lessThan">
      <formula>G$9</formula>
    </cfRule>
  </conditionalFormatting>
  <conditionalFormatting sqref="AC53">
    <cfRule type="cellIs" dxfId="1" priority="1170" operator="lessThan">
      <formula>G$9</formula>
    </cfRule>
  </conditionalFormatting>
  <conditionalFormatting sqref="AA54">
    <cfRule type="cellIs" dxfId="1" priority="1171" operator="lessThan">
      <formula>G$9</formula>
    </cfRule>
  </conditionalFormatting>
  <conditionalFormatting sqref="AB54">
    <cfRule type="cellIs" dxfId="1" priority="1172" operator="lessThan">
      <formula>G$9</formula>
    </cfRule>
  </conditionalFormatting>
  <conditionalFormatting sqref="AC54">
    <cfRule type="cellIs" dxfId="1" priority="1173" operator="lessThan">
      <formula>G$9</formula>
    </cfRule>
  </conditionalFormatting>
  <conditionalFormatting sqref="AA55">
    <cfRule type="cellIs" dxfId="1" priority="1174" operator="lessThan">
      <formula>G$9</formula>
    </cfRule>
  </conditionalFormatting>
  <conditionalFormatting sqref="AB55">
    <cfRule type="cellIs" dxfId="1" priority="1175" operator="lessThan">
      <formula>G$9</formula>
    </cfRule>
  </conditionalFormatting>
  <conditionalFormatting sqref="AC55">
    <cfRule type="cellIs" dxfId="1" priority="1176" operator="lessThan">
      <formula>G$9</formula>
    </cfRule>
  </conditionalFormatting>
  <conditionalFormatting sqref="AA56">
    <cfRule type="cellIs" dxfId="1" priority="1177" operator="lessThan">
      <formula>G$9</formula>
    </cfRule>
  </conditionalFormatting>
  <conditionalFormatting sqref="AB56">
    <cfRule type="cellIs" dxfId="1" priority="1178" operator="lessThan">
      <formula>G$9</formula>
    </cfRule>
  </conditionalFormatting>
  <conditionalFormatting sqref="AC56">
    <cfRule type="cellIs" dxfId="1" priority="1179" operator="lessThan">
      <formula>G$9</formula>
    </cfRule>
  </conditionalFormatting>
  <conditionalFormatting sqref="AA57">
    <cfRule type="cellIs" dxfId="1" priority="1180" operator="lessThan">
      <formula>G$9</formula>
    </cfRule>
  </conditionalFormatting>
  <conditionalFormatting sqref="AB57">
    <cfRule type="cellIs" dxfId="1" priority="1181" operator="lessThan">
      <formula>G$9</formula>
    </cfRule>
  </conditionalFormatting>
  <conditionalFormatting sqref="AC57">
    <cfRule type="cellIs" dxfId="1" priority="1182" operator="lessThan">
      <formula>G$9</formula>
    </cfRule>
  </conditionalFormatting>
  <conditionalFormatting sqref="AA58">
    <cfRule type="cellIs" dxfId="1" priority="1183" operator="lessThan">
      <formula>G$9</formula>
    </cfRule>
  </conditionalFormatting>
  <conditionalFormatting sqref="AB58">
    <cfRule type="cellIs" dxfId="1" priority="1184" operator="lessThan">
      <formula>G$9</formula>
    </cfRule>
  </conditionalFormatting>
  <conditionalFormatting sqref="AC58">
    <cfRule type="cellIs" dxfId="1" priority="1185" operator="lessThan">
      <formula>G$9</formula>
    </cfRule>
  </conditionalFormatting>
  <conditionalFormatting sqref="AA59">
    <cfRule type="cellIs" dxfId="1" priority="1186" operator="lessThan">
      <formula>G$9</formula>
    </cfRule>
  </conditionalFormatting>
  <conditionalFormatting sqref="AB59">
    <cfRule type="cellIs" dxfId="1" priority="1187" operator="lessThan">
      <formula>G$9</formula>
    </cfRule>
  </conditionalFormatting>
  <conditionalFormatting sqref="AC59">
    <cfRule type="cellIs" dxfId="1" priority="1188" operator="lessThan">
      <formula>G$9</formula>
    </cfRule>
  </conditionalFormatting>
  <conditionalFormatting sqref="AA60">
    <cfRule type="cellIs" dxfId="1" priority="1189" operator="lessThan">
      <formula>G$9</formula>
    </cfRule>
  </conditionalFormatting>
  <conditionalFormatting sqref="AB60">
    <cfRule type="cellIs" dxfId="1" priority="1190" operator="lessThan">
      <formula>G$9</formula>
    </cfRule>
  </conditionalFormatting>
  <conditionalFormatting sqref="AC60">
    <cfRule type="cellIs" dxfId="1" priority="1191" operator="lessThan">
      <formula>G$9</formula>
    </cfRule>
  </conditionalFormatting>
  <conditionalFormatting sqref="AA61">
    <cfRule type="cellIs" dxfId="1" priority="1192" operator="lessThan">
      <formula>G$9</formula>
    </cfRule>
  </conditionalFormatting>
  <conditionalFormatting sqref="AB61">
    <cfRule type="cellIs" dxfId="1" priority="1193" operator="lessThan">
      <formula>G$9</formula>
    </cfRule>
  </conditionalFormatting>
  <conditionalFormatting sqref="AC61">
    <cfRule type="cellIs" dxfId="1" priority="1194" operator="lessThan">
      <formula>G$9</formula>
    </cfRule>
  </conditionalFormatting>
  <conditionalFormatting sqref="AA62">
    <cfRule type="cellIs" dxfId="1" priority="1195" operator="lessThan">
      <formula>G$9</formula>
    </cfRule>
  </conditionalFormatting>
  <conditionalFormatting sqref="AB62">
    <cfRule type="cellIs" dxfId="1" priority="1196" operator="lessThan">
      <formula>G$9</formula>
    </cfRule>
  </conditionalFormatting>
  <conditionalFormatting sqref="AC62">
    <cfRule type="cellIs" dxfId="1" priority="1197" operator="lessThan">
      <formula>G$9</formula>
    </cfRule>
  </conditionalFormatting>
  <printOptions gridLines="false" gridLinesSet="true"/>
  <pageMargins left="0.2362204724409449" right="0.2362204724409449" top="0.7480314960629921" bottom="0.7480314960629921" header="0.3149606299212598" footer="0.3149606299212598"/>
  <pageSetup paperSize="9" orientation="landscape" scale="100" fitToHeight="1" fitToWidth="1"/>
  <headerFooter differentOddEven="false" differentFirst="false" scaleWithDoc="true" alignWithMargins="true">
    <oddHeader/>
    <oddFooter>Page &amp;P&amp;RBoarding Bridges</oddFooter>
    <evenHeader/>
    <evenFooter/>
    <firstHeader/>
    <first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:space="preserve">
  <sheetPr codeName="Sheet4">
    <outlinePr summaryBelow="1" summaryRight="1"/>
  </sheetPr>
  <dimension ref="A1:AC58"/>
  <sheetViews>
    <sheetView tabSelected="0" workbookViewId="0" showGridLines="true" showRowColHeaders="1">
      <selection activeCell="F35" sqref="F35"/>
    </sheetView>
  </sheetViews>
  <sheetFormatPr defaultRowHeight="14.4" outlineLevelRow="0" outlineLevelCol="0"/>
  <cols>
    <col min="1" max="1" width="7.42578125" hidden="true" customWidth="true" style="1"/>
    <col min="2" max="2" width="7.42578125" hidden="true" customWidth="true" style="1"/>
    <col min="3" max="3" width="3.5703125" customWidth="true" style="1"/>
    <col min="4" max="4" width="5" customWidth="true" style="1"/>
    <col min="5" max="5" width="5.5703125" customWidth="true" style="1"/>
    <col min="6" max="6" width="5.5703125" customWidth="true" style="1"/>
    <col min="7" max="7" width="5.5703125" customWidth="true" style="1"/>
    <col min="8" max="8" width="5.5703125" customWidth="true" style="1"/>
    <col min="9" max="9" width="5.5703125" customWidth="true" style="1"/>
    <col min="10" max="10" width="5.5703125" customWidth="true" style="1"/>
    <col min="11" max="11" width="5.5703125" customWidth="true" style="1"/>
    <col min="12" max="12" width="5.5703125" customWidth="true" style="1"/>
    <col min="13" max="13" width="5.5703125" customWidth="true" style="1"/>
    <col min="14" max="14" width="5.5703125" customWidth="true" style="1"/>
    <col min="15" max="15" width="5.5703125" customWidth="true" style="1"/>
    <col min="16" max="16" width="5.5703125" customWidth="true" style="1"/>
    <col min="17" max="17" width="5.5703125" customWidth="true" style="1"/>
    <col min="18" max="18" width="5.5703125" customWidth="true" style="1"/>
    <col min="19" max="19" width="5.5703125" customWidth="true" style="1"/>
    <col min="20" max="20" width="5.5703125" customWidth="true" style="1"/>
    <col min="21" max="21" width="5.5703125" customWidth="true" style="1"/>
    <col min="22" max="22" width="5.5703125" customWidth="true" style="1"/>
    <col min="23" max="23" width="5.5703125" customWidth="true" style="1"/>
    <col min="24" max="24" width="5.5703125" customWidth="true" style="1"/>
    <col min="25" max="25" width="5.5703125" customWidth="true" style="1"/>
    <col min="26" max="26" width="5.5703125" customWidth="true" style="1"/>
    <col min="27" max="27" width="5.5703125" customWidth="true" style="1"/>
    <col min="28" max="28" width="9.42578125" customWidth="true" style="1"/>
    <col min="29" max="29" width="9.140625" customWidth="true" style="1"/>
  </cols>
  <sheetData>
    <row r="1" spans="1:29" customHeight="1" ht="8.25"/>
    <row r="2" spans="1:29" customHeight="1" ht="18.75">
      <c r="D2" s="12"/>
      <c r="E2" s="13" t="str">
        <f>IF(#REF!=1,"Availability Reporting",IF(#REF!=2,"Operationality Reporting","AMS Mode Reporting"))</f>
        <v>0</v>
      </c>
      <c r="F2" s="13"/>
      <c r="G2" s="13"/>
      <c r="H2" s="13"/>
      <c r="I2" s="14" t="str">
        <f>#REF!</f>
        <v>0</v>
      </c>
      <c r="J2" s="13"/>
      <c r="K2" s="13"/>
      <c r="L2" s="13"/>
      <c r="M2" s="13"/>
      <c r="N2" s="13"/>
      <c r="O2" s="13"/>
      <c r="P2" s="13"/>
      <c r="Q2" s="13"/>
      <c r="R2" s="13"/>
      <c r="S2" s="13"/>
      <c r="T2" s="7"/>
      <c r="U2" s="3"/>
      <c r="V2" s="4"/>
      <c r="W2" s="13"/>
      <c r="X2" s="13"/>
      <c r="Y2" s="13"/>
      <c r="Z2" s="13"/>
      <c r="AA2" s="15"/>
    </row>
    <row r="3" spans="1:29" customHeight="1" ht="15.75">
      <c r="D3" s="16"/>
      <c r="E3" s="17"/>
      <c r="F3" s="17"/>
      <c r="G3" s="17"/>
      <c r="H3" s="17"/>
      <c r="I3" s="80" t="str">
        <f>#REF!</f>
        <v>0</v>
      </c>
      <c r="J3" s="80"/>
      <c r="K3" s="17" t="s">
        <v>61</v>
      </c>
      <c r="L3" s="80" t="str">
        <f>#REF!</f>
        <v>0</v>
      </c>
      <c r="M3" s="80"/>
      <c r="N3" s="17"/>
      <c r="O3" s="17"/>
      <c r="P3" s="17"/>
      <c r="Q3" s="17"/>
      <c r="R3" s="17"/>
      <c r="S3" s="17"/>
      <c r="T3" s="8"/>
      <c r="U3" s="2"/>
      <c r="V3" s="9"/>
      <c r="W3" s="17"/>
      <c r="X3" s="17"/>
      <c r="Y3" s="17"/>
      <c r="Z3" s="17"/>
      <c r="AA3" s="18"/>
    </row>
    <row r="4" spans="1:29" customHeight="1" ht="15.75">
      <c r="A4" s="1" t="s">
        <v>94</v>
      </c>
      <c r="D4" s="19"/>
      <c r="E4" s="20" t="s">
        <v>62</v>
      </c>
      <c r="F4" s="20"/>
      <c r="G4" s="20" t="str">
        <f>#REF!</f>
        <v>0</v>
      </c>
      <c r="H4" s="20"/>
      <c r="I4" s="20"/>
      <c r="J4" s="21" t="str">
        <f>#REF!</f>
        <v>0</v>
      </c>
      <c r="K4" s="20" t="s">
        <v>61</v>
      </c>
      <c r="L4" s="21" t="str">
        <f>#REF!</f>
        <v>0</v>
      </c>
      <c r="M4" s="20"/>
      <c r="N4" s="20"/>
      <c r="O4" s="20"/>
      <c r="P4" s="20"/>
      <c r="Q4" s="20"/>
      <c r="R4" s="20"/>
      <c r="S4" s="20"/>
      <c r="T4" s="10"/>
      <c r="U4" s="5"/>
      <c r="V4" s="11"/>
      <c r="W4" s="20"/>
      <c r="X4" s="20"/>
      <c r="Y4" s="20"/>
      <c r="Z4" s="20"/>
      <c r="AA4" s="22"/>
    </row>
    <row r="5" spans="1:29" customHeight="1" ht="5.25"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9" customHeight="1" ht="15">
      <c r="B6" s="1" t="s">
        <v>95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5"/>
    </row>
    <row r="7" spans="1:29">
      <c r="A7" s="1">
        <v>95</v>
      </c>
      <c r="B7" s="1">
        <v>1</v>
      </c>
      <c r="D7" s="56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8"/>
    </row>
    <row r="8" spans="1:29">
      <c r="A8" s="1">
        <v>95</v>
      </c>
      <c r="B8" s="1">
        <v>2</v>
      </c>
      <c r="D8" s="56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8"/>
    </row>
    <row r="9" spans="1:29">
      <c r="A9" s="1">
        <v>95</v>
      </c>
      <c r="B9" s="1">
        <v>3</v>
      </c>
      <c r="D9" s="56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8"/>
    </row>
    <row r="10" spans="1:29">
      <c r="A10" s="1">
        <v>95</v>
      </c>
      <c r="B10" s="1">
        <v>4</v>
      </c>
      <c r="D10" s="56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8"/>
    </row>
    <row r="11" spans="1:29">
      <c r="A11" s="1">
        <v>95</v>
      </c>
      <c r="B11" s="1">
        <v>5</v>
      </c>
      <c r="D11" s="56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8"/>
    </row>
    <row r="12" spans="1:29">
      <c r="A12" s="1">
        <v>95</v>
      </c>
      <c r="B12" s="1">
        <v>6</v>
      </c>
      <c r="D12" s="56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8"/>
    </row>
    <row r="13" spans="1:29">
      <c r="A13" s="1">
        <v>95</v>
      </c>
      <c r="B13" s="1">
        <v>7</v>
      </c>
      <c r="D13" s="56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8"/>
    </row>
    <row r="14" spans="1:29">
      <c r="A14" s="1">
        <v>95</v>
      </c>
      <c r="B14" s="1">
        <v>8</v>
      </c>
      <c r="D14" s="56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8"/>
    </row>
    <row r="15" spans="1:29">
      <c r="A15" s="1">
        <v>95</v>
      </c>
      <c r="B15" s="1">
        <v>9</v>
      </c>
      <c r="D15" s="56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8"/>
    </row>
    <row r="16" spans="1:29">
      <c r="A16" s="1">
        <v>95</v>
      </c>
      <c r="B16" s="1">
        <v>10</v>
      </c>
      <c r="D16" s="56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8"/>
    </row>
    <row r="17" spans="1:29">
      <c r="A17" s="1">
        <v>95</v>
      </c>
      <c r="B17" s="1">
        <v>11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8"/>
    </row>
    <row r="18" spans="1:29">
      <c r="A18" s="1">
        <v>95</v>
      </c>
      <c r="B18" s="1">
        <v>12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8"/>
    </row>
    <row r="19" spans="1:29">
      <c r="A19" s="1">
        <v>95</v>
      </c>
      <c r="B19" s="1">
        <v>13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8"/>
    </row>
    <row r="20" spans="1:29">
      <c r="A20" s="1">
        <v>95</v>
      </c>
      <c r="B20" s="1">
        <v>14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8"/>
    </row>
    <row r="21" spans="1:29">
      <c r="A21" s="1">
        <v>95</v>
      </c>
      <c r="B21" s="1">
        <v>15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8"/>
    </row>
    <row r="22" spans="1:29">
      <c r="A22" s="1">
        <v>95</v>
      </c>
      <c r="B22" s="1">
        <v>16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8"/>
    </row>
    <row r="23" spans="1:29">
      <c r="A23" s="1">
        <v>95</v>
      </c>
      <c r="B23" s="1">
        <v>17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8"/>
    </row>
    <row r="24" spans="1:29">
      <c r="A24" s="1">
        <v>95</v>
      </c>
      <c r="B24" s="1">
        <v>18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8"/>
    </row>
    <row r="25" spans="1:29">
      <c r="A25" s="1">
        <v>95</v>
      </c>
      <c r="B25" s="1">
        <v>19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8"/>
    </row>
    <row r="26" spans="1:29">
      <c r="A26" s="1">
        <v>97</v>
      </c>
      <c r="B26" s="1">
        <v>20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8"/>
    </row>
    <row r="27" spans="1:29">
      <c r="A27" s="1">
        <v>97</v>
      </c>
      <c r="B27" s="1">
        <v>21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8"/>
    </row>
    <row r="28" spans="1:29">
      <c r="A28" s="1">
        <v>97</v>
      </c>
      <c r="B28" s="1">
        <v>22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8"/>
    </row>
    <row r="29" spans="1:29">
      <c r="A29" s="1">
        <v>97</v>
      </c>
      <c r="B29" s="1">
        <v>23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8"/>
    </row>
    <row r="30" spans="1:29">
      <c r="A30" s="1">
        <v>97</v>
      </c>
      <c r="B30" s="1">
        <v>24</v>
      </c>
      <c r="D30" s="8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9"/>
    </row>
    <row r="31" spans="1:29">
      <c r="A31" s="1">
        <v>97</v>
      </c>
      <c r="B31" s="1">
        <v>25</v>
      </c>
      <c r="D31" s="8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9"/>
    </row>
    <row r="32" spans="1:29">
      <c r="A32" s="1">
        <v>97</v>
      </c>
      <c r="B32" s="1">
        <v>26</v>
      </c>
      <c r="D32" s="8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9"/>
    </row>
    <row r="33" spans="1:29">
      <c r="A33" s="1">
        <v>97</v>
      </c>
      <c r="B33" s="1">
        <v>27</v>
      </c>
      <c r="D33" s="8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9"/>
    </row>
    <row r="34" spans="1:29" customHeight="1" ht="15.75">
      <c r="A34" s="1">
        <v>97</v>
      </c>
      <c r="B34" s="1">
        <v>28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11"/>
    </row>
    <row r="35" spans="1:29">
      <c r="A35" s="1">
        <v>97</v>
      </c>
      <c r="B35" s="1">
        <v>29</v>
      </c>
    </row>
    <row r="36" spans="1:29">
      <c r="A36" s="1">
        <v>97</v>
      </c>
      <c r="B36" s="1">
        <v>30</v>
      </c>
    </row>
    <row r="37" spans="1:29">
      <c r="A37" s="1">
        <v>97</v>
      </c>
      <c r="B37" s="1">
        <v>31</v>
      </c>
    </row>
    <row r="38" spans="1:29">
      <c r="A38" s="1">
        <v>97</v>
      </c>
      <c r="B38" s="1">
        <v>32</v>
      </c>
      <c r="I38" s="1"/>
    </row>
    <row r="39" spans="1:29">
      <c r="A39" s="1">
        <v>97</v>
      </c>
      <c r="B39" s="1">
        <v>33</v>
      </c>
      <c r="I39" s="1"/>
    </row>
    <row r="40" spans="1:29">
      <c r="A40" s="1">
        <v>97</v>
      </c>
      <c r="B40" s="1">
        <v>34</v>
      </c>
      <c r="I40" s="1"/>
    </row>
    <row r="41" spans="1:29">
      <c r="A41" s="1">
        <v>97</v>
      </c>
      <c r="B41" s="1">
        <v>35</v>
      </c>
    </row>
    <row r="42" spans="1:29">
      <c r="A42" s="1">
        <v>97</v>
      </c>
      <c r="B42" s="1">
        <v>36</v>
      </c>
    </row>
    <row r="43" spans="1:29">
      <c r="A43" s="1">
        <v>97</v>
      </c>
      <c r="B43" s="1">
        <v>37</v>
      </c>
    </row>
    <row r="44" spans="1:29">
      <c r="A44" s="1">
        <v>97</v>
      </c>
      <c r="B44" s="1">
        <v>38</v>
      </c>
    </row>
    <row r="45" spans="1:29">
      <c r="A45" s="1">
        <v>97</v>
      </c>
      <c r="B45" s="1">
        <v>39</v>
      </c>
    </row>
    <row r="46" spans="1:29">
      <c r="A46" s="1">
        <v>97</v>
      </c>
      <c r="B46" s="1">
        <v>40</v>
      </c>
    </row>
    <row r="47" spans="1:29">
      <c r="A47" s="1">
        <v>97</v>
      </c>
      <c r="B47" s="1">
        <v>41</v>
      </c>
    </row>
    <row r="48" spans="1:29">
      <c r="A48" s="1">
        <v>97</v>
      </c>
      <c r="B48" s="1">
        <v>42</v>
      </c>
    </row>
    <row r="49" spans="1:29">
      <c r="A49" s="1">
        <v>95</v>
      </c>
      <c r="B49" s="1">
        <v>43</v>
      </c>
    </row>
    <row r="50" spans="1:29">
      <c r="A50" s="1">
        <v>95</v>
      </c>
      <c r="B50" s="1">
        <v>44</v>
      </c>
    </row>
    <row r="51" spans="1:29">
      <c r="A51" s="1">
        <v>95</v>
      </c>
      <c r="B51" s="1">
        <v>45</v>
      </c>
    </row>
    <row r="52" spans="1:29">
      <c r="A52" s="1">
        <v>95</v>
      </c>
      <c r="B52" s="1">
        <v>46</v>
      </c>
    </row>
    <row r="53" spans="1:29">
      <c r="A53" s="1">
        <v>95</v>
      </c>
      <c r="B53" s="1">
        <v>47</v>
      </c>
    </row>
    <row r="54" spans="1:29">
      <c r="A54" s="1">
        <v>95</v>
      </c>
      <c r="B54" s="1">
        <v>48</v>
      </c>
    </row>
    <row r="55" spans="1:29">
      <c r="A55" s="1">
        <v>95</v>
      </c>
      <c r="B55" s="1">
        <v>49</v>
      </c>
    </row>
    <row r="56" spans="1:29">
      <c r="A56" s="1">
        <v>95</v>
      </c>
      <c r="B56" s="1">
        <v>50</v>
      </c>
    </row>
    <row r="57" spans="1:29">
      <c r="A57" s="1">
        <v>95</v>
      </c>
      <c r="B57" s="1">
        <v>51</v>
      </c>
    </row>
    <row r="58" spans="1:29">
      <c r="A58" s="1">
        <v>95</v>
      </c>
      <c r="B58" s="1">
        <v>52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I3:J3"/>
    <mergeCell ref="L3:M3"/>
  </mergeCells>
  <printOptions gridLines="false" gridLinesSet="true"/>
  <pageMargins left="0.2362204724409449" right="0.2362204724409449" top="0.7480314960629921" bottom="0.7480314960629921" header="0.3149606299212598" footer="0.3149606299212598"/>
  <pageSetup paperSize="9" orientation="landscape" scale="100" fitToHeight="1" fitToWidth="1"/>
  <headerFooter differentOddEven="false" differentFirst="false" scaleWithDoc="true" alignWithMargins="true">
    <oddHeader/>
    <oddFooter>Page &amp;P&amp;RBoarding Bridges</oddFooter>
    <evenHeader/>
    <evenFooter/>
    <firstHeader/>
    <first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REPDEF</vt:lpstr>
      <vt:lpstr>REPORT</vt:lpstr>
      <vt:lpstr>CHART</vt:lpstr>
    </vt:vector>
  </TitlesOfParts>
  <Company>Nexis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Airport Monitoring System</dc:creator>
  <cp:lastModifiedBy>e169619</cp:lastModifiedBy>
  <dcterms:created xsi:type="dcterms:W3CDTF">2014-10-05T03:36:43+00:00</dcterms:created>
  <dcterms:modified xsi:type="dcterms:W3CDTF">2019-01-25T15:28:02+00:00</dcterms:modified>
  <dc:title>KPI GTZ PB PCA 05-21 2019</dc:title>
  <dc:description/>
  <dc:subject>start-date - end-date 17:00 - 20:00</dc:subject>
  <cp:keywords/>
  <cp:category/>
</cp:coreProperties>
</file>